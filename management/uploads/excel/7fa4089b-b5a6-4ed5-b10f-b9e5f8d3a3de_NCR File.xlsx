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58C4E25E-6349-4ABF-8C49-B39AFC759EDA}" xr6:coauthVersionLast="36" xr6:coauthVersionMax="47" xr10:uidLastSave="{00000000-0000-0000-0000-000000000000}"/>
  <bookViews>
    <workbookView xWindow="-105" yWindow="-105" windowWidth="23250" windowHeight="12570" xr2:uid="{C5AAD1DE-E2F3-4E95-B0FD-238B13E464B8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Sheet1!$A$1:$AW$133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3" i="1" l="1"/>
  <c r="AS95" i="1" l="1"/>
  <c r="AS94" i="1"/>
  <c r="AS88" i="1"/>
  <c r="AS86" i="1"/>
  <c r="AS85" i="1"/>
  <c r="AS79" i="1"/>
  <c r="AS77" i="1"/>
  <c r="AS66" i="1"/>
  <c r="AS65" i="1"/>
  <c r="AS60" i="1"/>
  <c r="AS32" i="1"/>
  <c r="AU35" i="1"/>
  <c r="AS35" i="1" s="1"/>
  <c r="AU38" i="1"/>
  <c r="AS38" i="1" s="1"/>
  <c r="AU37" i="1"/>
  <c r="AS37" i="1" s="1"/>
  <c r="AU36" i="1"/>
  <c r="AS36" i="1" s="1"/>
  <c r="AU34" i="1"/>
  <c r="AS34" i="1" s="1"/>
  <c r="AU33" i="1"/>
  <c r="AS33" i="1" s="1"/>
  <c r="R130" i="1"/>
  <c r="AS130" i="1" s="1"/>
  <c r="R126" i="1"/>
  <c r="R125" i="1"/>
  <c r="R123" i="1"/>
  <c r="R122" i="1"/>
  <c r="R121" i="1"/>
  <c r="R109" i="1"/>
  <c r="R108" i="1"/>
  <c r="AS112" i="1"/>
  <c r="AS106" i="1"/>
  <c r="AS105" i="1"/>
  <c r="AS104" i="1"/>
  <c r="AS103" i="1"/>
  <c r="AS102" i="1"/>
  <c r="AS101" i="1"/>
  <c r="AS100" i="1"/>
  <c r="AS99" i="1"/>
  <c r="AS98" i="1"/>
  <c r="AS97" i="1"/>
  <c r="AS96" i="1"/>
  <c r="AS93" i="1"/>
  <c r="AS92" i="1"/>
  <c r="AS91" i="1"/>
  <c r="AS90" i="1"/>
  <c r="AS89" i="1"/>
  <c r="AS87" i="1"/>
  <c r="AS84" i="1"/>
  <c r="AS83" i="1"/>
  <c r="AS82" i="1"/>
  <c r="AS81" i="1"/>
  <c r="AS80" i="1"/>
  <c r="AS78" i="1"/>
  <c r="AS76" i="1"/>
  <c r="AS75" i="1"/>
  <c r="AS74" i="1"/>
  <c r="AS73" i="1"/>
  <c r="AS72" i="1"/>
  <c r="AS71" i="1"/>
  <c r="AS70" i="1"/>
  <c r="AS69" i="1"/>
  <c r="AS68" i="1"/>
  <c r="AS67" i="1"/>
  <c r="AS64" i="1"/>
  <c r="AS63" i="1"/>
  <c r="AS62" i="1"/>
  <c r="AS61" i="1"/>
  <c r="AS59" i="1"/>
  <c r="AS58" i="1"/>
  <c r="R132" i="1"/>
  <c r="AS132" i="1" s="1"/>
  <c r="R129" i="1"/>
  <c r="AS129" i="1" s="1"/>
  <c r="R128" i="1"/>
  <c r="AS128" i="1" s="1"/>
  <c r="R127" i="1"/>
  <c r="AS127" i="1" s="1"/>
  <c r="R124" i="1"/>
  <c r="AS124" i="1" s="1"/>
  <c r="R131" i="1"/>
  <c r="AS131" i="1" s="1"/>
  <c r="R119" i="1"/>
  <c r="AS119" i="1" s="1"/>
  <c r="R118" i="1"/>
  <c r="AS118" i="1" s="1"/>
  <c r="R117" i="1"/>
  <c r="AS117" i="1" s="1"/>
  <c r="R116" i="1"/>
  <c r="AS116" i="1" s="1"/>
  <c r="R115" i="1"/>
  <c r="AS115" i="1" s="1"/>
  <c r="R114" i="1"/>
  <c r="AS114" i="1" s="1"/>
  <c r="R113" i="1"/>
  <c r="AS113" i="1" s="1"/>
  <c r="R111" i="1"/>
  <c r="AS111" i="1" s="1"/>
  <c r="R110" i="1"/>
  <c r="AS110" i="1" s="1"/>
  <c r="AS126" i="1" l="1"/>
  <c r="AS125" i="1"/>
  <c r="AS123" i="1"/>
  <c r="AS122" i="1"/>
  <c r="AS121" i="1"/>
  <c r="R120" i="1"/>
  <c r="AS109" i="1"/>
  <c r="AS108" i="1"/>
  <c r="AS107" i="1"/>
  <c r="Q132" i="1"/>
  <c r="Q128" i="1"/>
  <c r="Q124" i="1"/>
  <c r="Q118" i="1"/>
  <c r="AS120" i="1" l="1"/>
  <c r="R133" i="1"/>
  <c r="A57" i="1"/>
  <c r="A56" i="1"/>
  <c r="A55" i="1"/>
  <c r="A54" i="1"/>
  <c r="A53" i="1"/>
  <c r="A52" i="1"/>
  <c r="AS51" i="1"/>
  <c r="A51" i="1"/>
  <c r="A50" i="1"/>
  <c r="AS49" i="1"/>
  <c r="A49" i="1"/>
  <c r="A48" i="1"/>
  <c r="AS47" i="1"/>
  <c r="A47" i="1"/>
  <c r="A46" i="1"/>
  <c r="A45" i="1"/>
  <c r="A44" i="1"/>
  <c r="A43" i="1"/>
  <c r="A42" i="1"/>
  <c r="A41" i="1"/>
  <c r="A40" i="1"/>
  <c r="A39" i="1"/>
  <c r="Q44" i="1" l="1"/>
  <c r="AS44" i="1"/>
  <c r="Q52" i="1"/>
  <c r="AS52" i="1"/>
  <c r="Q57" i="1"/>
  <c r="AS57" i="1"/>
  <c r="Q42" i="1"/>
  <c r="AS42" i="1"/>
  <c r="Q46" i="1"/>
  <c r="AS46" i="1"/>
  <c r="Q50" i="1"/>
  <c r="AS50" i="1"/>
  <c r="Q54" i="1"/>
  <c r="AS54" i="1"/>
  <c r="Q40" i="1"/>
  <c r="AS40" i="1"/>
  <c r="Q48" i="1"/>
  <c r="AS48" i="1"/>
  <c r="Q56" i="1"/>
  <c r="AS56" i="1"/>
  <c r="Q41" i="1"/>
  <c r="AS41" i="1"/>
  <c r="Q45" i="1"/>
  <c r="AS45" i="1"/>
  <c r="Q53" i="1"/>
  <c r="AS53" i="1"/>
  <c r="Q39" i="1"/>
  <c r="AS39" i="1"/>
  <c r="Q43" i="1"/>
  <c r="AS43" i="1"/>
  <c r="Q55" i="1"/>
  <c r="AS55" i="1"/>
  <c r="AU32" i="1"/>
  <c r="A38" i="1" l="1"/>
  <c r="A37" i="1"/>
  <c r="A36" i="1"/>
  <c r="A35" i="1"/>
  <c r="A34" i="1"/>
  <c r="A33" i="1"/>
  <c r="A32" i="1"/>
  <c r="AS31" i="1"/>
  <c r="A31" i="1"/>
  <c r="AS30" i="1"/>
  <c r="A30" i="1"/>
  <c r="AS29" i="1"/>
  <c r="A29" i="1"/>
  <c r="AS28" i="1"/>
  <c r="A28" i="1"/>
  <c r="AS27" i="1"/>
  <c r="A27" i="1"/>
  <c r="AS26" i="1"/>
  <c r="A26" i="1"/>
  <c r="AS25" i="1" l="1"/>
  <c r="A25" i="1"/>
  <c r="AL19" i="1"/>
  <c r="AS19" i="1" s="1"/>
  <c r="AL18" i="1"/>
  <c r="AS18" i="1" s="1"/>
  <c r="AL12" i="1"/>
  <c r="AS12" i="1" s="1"/>
  <c r="AS24" i="1"/>
  <c r="AS23" i="1"/>
  <c r="AS22" i="1"/>
  <c r="AS21" i="1"/>
  <c r="AS20" i="1"/>
  <c r="AS17" i="1"/>
  <c r="AS16" i="1"/>
  <c r="AS15" i="1"/>
  <c r="AS14" i="1"/>
  <c r="AS13" i="1"/>
  <c r="AS11" i="1"/>
  <c r="AS10" i="1"/>
  <c r="AS9" i="1"/>
  <c r="AS8" i="1"/>
  <c r="AS7" i="1"/>
  <c r="AS5" i="1"/>
  <c r="AS4" i="1"/>
  <c r="AS3" i="1"/>
  <c r="AS2" i="1"/>
  <c r="AS6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S133" i="1" l="1"/>
</calcChain>
</file>

<file path=xl/sharedStrings.xml><?xml version="1.0" encoding="utf-8"?>
<sst xmlns="http://schemas.openxmlformats.org/spreadsheetml/2006/main" count="2988" uniqueCount="585">
  <si>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</si>
  <si>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</si>
  <si>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</si>
  <si>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</si>
  <si>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</si>
  <si>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</si>
  <si>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</si>
  <si>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</si>
  <si>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</si>
  <si>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</si>
  <si>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</si>
  <si>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</si>
  <si>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</si>
  <si>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</si>
  <si>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</si>
  <si>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</si>
  <si>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</si>
  <si>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</si>
  <si>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</si>
  <si>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</si>
  <si>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</si>
  <si>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</si>
  <si>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</si>
  <si>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</si>
  <si>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</si>
  <si>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TOTAL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</si>
  <si>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</si>
  <si>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</si>
  <si>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</si>
  <si>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</si>
  <si>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</si>
  <si>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</si>
  <si>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</si>
  <si>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</si>
  <si>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</si>
  <si>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</si>
  <si>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</si>
  <si>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</si>
  <si>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</si>
  <si>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</si>
  <si>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</si>
  <si>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</si>
  <si>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</si>
  <si>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</si>
  <si>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</si>
  <si>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</si>
  <si>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</si>
  <si>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</si>
  <si>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</si>
  <si>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</si>
  <si>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</si>
  <si>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</si>
  <si>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</si>
  <si>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</si>
  <si>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</si>
  <si>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</si>
  <si>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</si>
  <si>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</si>
  <si>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</si>
  <si>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</si>
  <si>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</si>
  <si>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</si>
  <si>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</si>
  <si>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</si>
  <si>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</si>
  <si>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</si>
  <si>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</si>
  <si>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</si>
  <si>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</si>
  <si>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</si>
  <si>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</si>
  <si>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</si>
  <si>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</si>
  <si>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</si>
  <si>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</si>
  <si>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</si>
  <si>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</si>
  <si>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</si>
  <si>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</si>
  <si>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</si>
  <si>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</si>
  <si>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</si>
  <si>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</si>
  <si>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</si>
  <si>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</si>
  <si>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</si>
  <si>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</si>
  <si>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</si>
  <si>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</si>
  <si>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</si>
  <si>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</si>
  <si>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</si>
  <si>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</si>
  <si>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</si>
  <si>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</si>
  <si>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</si>
  <si>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</si>
  <si>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</si>
  <si>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</si>
  <si>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</si>
  <si>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</si>
  <si>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</si>
  <si>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</si>
  <si>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</si>
  <si>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</si>
  <si>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</si>
  <si>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</si>
  <si>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</si>
  <si>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</si>
  <si>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</si>
  <si>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</si>
  <si>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</si>
  <si>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</si>
  <si>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</si>
  <si>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</si>
  <si>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</si>
  <si>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</si>
  <si>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</si>
  <si>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</si>
  <si>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</si>
  <si>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</si>
  <si>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</si>
  <si>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</si>
  <si>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</si>
  <si>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</si>
  <si>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</si>
  <si>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</si>
  <si>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</si>
  <si>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</si>
  <si>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</si>
  <si>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</si>
  <si>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</si>
  <si>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</si>
  <si>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</si>
  <si>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</si>
  <si>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</si>
  <si>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</si>
  <si>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</si>
  <si>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</si>
  <si>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</si>
  <si>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</si>
  <si>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</si>
  <si>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</si>
  <si>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</si>
  <si>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Hold Amount</t>
  </si>
  <si>
    <t>Deduction Amount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</si>
  <si>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</si>
  <si>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</si>
  <si>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</si>
  <si>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</si>
  <si>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</si>
  <si>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</si>
  <si>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</si>
  <si>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Final Vendor billed approved amount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</si>
  <si>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</si>
  <si>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</si>
  <si>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</si>
  <si>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</si>
  <si>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</si>
  <si>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Vendor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</si>
  <si>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</si>
  <si>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</si>
  <si>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</si>
  <si>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</si>
  <si>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</si>
  <si>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</si>
  <si>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</si>
  <si>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</si>
  <si>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</si>
  <si>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</si>
  <si>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</si>
  <si>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</si>
  <si>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</si>
  <si>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</si>
  <si>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</si>
  <si>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</si>
  <si>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</si>
  <si>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</si>
  <si>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</si>
  <si>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</si>
  <si>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</si>
  <si>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</si>
  <si>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</si>
  <si>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</si>
  <si>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</si>
  <si>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</si>
  <si>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</si>
  <si>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</si>
  <si>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</si>
  <si>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</si>
  <si>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</si>
  <si>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</si>
  <si>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</si>
  <si>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</si>
  <si>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</si>
  <si>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</si>
  <si>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</si>
  <si>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</si>
  <si>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</si>
  <si>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</si>
  <si>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</si>
  <si>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</si>
  <si>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</si>
  <si>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</si>
  <si>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</si>
  <si>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</si>
  <si>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</si>
  <si>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</si>
  <si>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</si>
  <si>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</si>
  <si>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</si>
  <si>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</si>
  <si>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</si>
  <si>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</si>
  <si>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</si>
  <si>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</si>
  <si>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</si>
  <si>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</si>
  <si>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</si>
  <si>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</si>
  <si>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</si>
  <si>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</si>
  <si>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</si>
  <si>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</si>
  <si>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</si>
  <si>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</si>
  <si>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</si>
  <si>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</si>
  <si>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</si>
  <si>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</si>
  <si>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</si>
  <si>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</si>
  <si>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</si>
  <si>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</si>
  <si>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</si>
  <si>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</si>
  <si>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</si>
  <si>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</si>
  <si>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</si>
  <si>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</si>
  <si>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</si>
  <si>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</si>
  <si>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</si>
  <si>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</si>
  <si>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</si>
  <si>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</si>
  <si>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</si>
  <si>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</si>
  <si>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</si>
  <si>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</si>
  <si>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</si>
  <si>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</si>
  <si>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</si>
  <si>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</si>
  <si>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</si>
  <si>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</si>
  <si>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</si>
  <si>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</si>
  <si>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</si>
  <si>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</si>
  <si>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</si>
  <si>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</si>
  <si>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</si>
  <si>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</si>
  <si>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</si>
  <si>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</si>
  <si>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</si>
  <si>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</si>
  <si>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</si>
  <si>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</si>
  <si>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</si>
  <si>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</si>
  <si>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</si>
  <si>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</si>
  <si>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</si>
  <si>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</si>
  <si>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</si>
  <si>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</si>
  <si>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</si>
  <si>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</si>
  <si>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</si>
  <si>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</si>
  <si>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</si>
  <si>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</si>
  <si>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</si>
  <si>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</si>
  <si>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</si>
  <si>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</si>
  <si>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</si>
  <si>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</si>
  <si>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</si>
  <si>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</si>
  <si>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</si>
  <si>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</si>
  <si>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</si>
  <si>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</si>
  <si>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</si>
  <si>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</si>
  <si>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</si>
  <si>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</si>
  <si>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</si>
  <si>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</si>
  <si>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</si>
  <si>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</si>
  <si>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</si>
  <si>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</si>
  <si>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</si>
  <si>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</si>
  <si>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</si>
  <si>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</si>
  <si>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</si>
  <si>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</si>
  <si>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</si>
  <si>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</si>
  <si>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</si>
  <si>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</si>
  <si>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</si>
  <si>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</si>
  <si>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</si>
  <si>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</si>
  <si>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</si>
  <si>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</si>
  <si>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</si>
  <si>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</si>
  <si>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</si>
  <si>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</si>
  <si>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</si>
  <si>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</si>
  <si>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</si>
  <si>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</si>
  <si>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</si>
  <si>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</si>
  <si>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</si>
  <si>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</si>
  <si>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</si>
  <si>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</si>
  <si>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</si>
  <si>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</si>
  <si>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</si>
  <si>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</si>
  <si>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</si>
  <si>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</si>
  <si>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</si>
  <si>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</si>
  <si>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</si>
  <si>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</si>
  <si>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</si>
  <si>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</si>
  <si>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</si>
  <si>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</si>
  <si>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</si>
  <si>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</si>
  <si>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</si>
  <si>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</si>
  <si>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</si>
  <si>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</si>
  <si>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</si>
  <si>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</si>
  <si>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</si>
  <si>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</si>
  <si>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</si>
  <si>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</si>
  <si>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</si>
  <si>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</si>
  <si>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</si>
  <si>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</si>
  <si>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</si>
  <si>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</si>
  <si>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</si>
  <si>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</si>
  <si>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</si>
  <si>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</si>
  <si>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</si>
  <si>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</si>
  <si>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</si>
  <si>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</si>
  <si>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</si>
  <si>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</si>
  <si>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</si>
  <si>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</si>
  <si>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</si>
  <si>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</si>
  <si>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</si>
  <si>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</si>
  <si>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</si>
  <si>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</si>
  <si>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</si>
  <si>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</si>
  <si>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</si>
  <si>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</si>
  <si>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</si>
  <si>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</si>
  <si>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</si>
  <si>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</si>
  <si>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</si>
  <si>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</si>
  <si>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</si>
  <si>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</si>
  <si>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</si>
  <si>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</si>
  <si>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</si>
  <si>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</si>
  <si>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</si>
  <si>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</si>
  <si>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</si>
  <si>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</si>
  <si>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</si>
  <si>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</si>
  <si>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</si>
  <si>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</si>
  <si>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</si>
  <si>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</si>
  <si>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</si>
  <si>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</si>
  <si>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</si>
  <si>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</si>
  <si>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</si>
  <si>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</si>
  <si>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</si>
  <si>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</si>
  <si>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</si>
  <si>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</si>
  <si>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</si>
  <si>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</si>
  <si>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</si>
  <si>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</si>
  <si>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</si>
  <si>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</si>
  <si>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</si>
  <si>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</si>
  <si>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</si>
  <si>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</si>
  <si>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</si>
  <si>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</si>
  <si>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</si>
  <si>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</si>
  <si>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</si>
  <si>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</si>
  <si>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</si>
  <si>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</si>
  <si>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</si>
  <si>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</si>
  <si>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</si>
  <si>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</si>
  <si>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</si>
  <si>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</si>
  <si>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</si>
  <si>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</si>
  <si>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</si>
  <si>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</si>
  <si>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</si>
  <si>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</si>
  <si>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</si>
  <si>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</si>
  <si>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</si>
  <si>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</si>
  <si>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</si>
  <si>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</si>
  <si>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</si>
  <si>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</si>
  <si>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</si>
  <si>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</si>
  <si>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</si>
  <si>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</si>
  <si>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</si>
  <si>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</si>
  <si>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</si>
  <si>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</si>
  <si>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</si>
  <si>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</si>
  <si>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</si>
  <si>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</si>
  <si>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</si>
  <si>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</si>
  <si>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</si>
  <si>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</si>
  <si>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</si>
  <si>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</si>
  <si>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</si>
  <si>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</si>
  <si>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</si>
  <si>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</si>
  <si>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</si>
  <si>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</si>
  <si>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</si>
  <si>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</si>
  <si>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</si>
  <si>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</si>
  <si>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</si>
  <si>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</si>
  <si>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</si>
  <si>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</si>
  <si>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</si>
  <si>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</si>
  <si>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</si>
  <si>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</si>
  <si>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</si>
  <si>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</si>
  <si>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</si>
  <si>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</si>
  <si>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</si>
  <si>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</si>
  <si>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</si>
  <si>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</si>
  <si>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</si>
  <si>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</si>
  <si>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</si>
  <si>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</si>
  <si>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</si>
  <si>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</si>
  <si>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</si>
  <si>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</si>
  <si>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</si>
  <si>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</si>
  <si>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</si>
  <si>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</si>
  <si>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</si>
  <si>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</si>
  <si>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</si>
  <si>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</si>
  <si>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</si>
  <si>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</si>
  <si>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</si>
  <si>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</si>
  <si>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</si>
  <si>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</si>
  <si>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</si>
  <si>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</si>
  <si>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</si>
  <si>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</si>
  <si>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</si>
  <si>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</si>
  <si>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</si>
  <si>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</si>
  <si>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</si>
  <si>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</si>
  <si>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</si>
  <si>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</si>
  <si>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</si>
  <si>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</si>
  <si>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</si>
  <si>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</si>
  <si>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</si>
  <si>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</si>
  <si>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</si>
  <si>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</si>
  <si>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</si>
  <si>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</si>
  <si>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</si>
  <si>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</si>
  <si>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</si>
  <si>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</si>
  <si>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</si>
  <si>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</si>
  <si>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</si>
  <si>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</si>
  <si>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</si>
  <si>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</si>
  <si>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</si>
  <si>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</si>
  <si>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</si>
  <si>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</si>
  <si>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</si>
  <si>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</si>
  <si>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</si>
  <si>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</si>
  <si>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</si>
  <si>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</si>
  <si>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</si>
  <si>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</si>
  <si>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</si>
  <si>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</si>
  <si>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</si>
  <si>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</si>
  <si>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</si>
  <si>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</si>
  <si>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 xml:space="preserve">BANK Name </t>
  </si>
  <si>
    <t>Buisness Group</t>
  </si>
  <si>
    <t>Type of movement</t>
  </si>
  <si>
    <t>Asset Description</t>
  </si>
  <si>
    <t>Vendor Name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</si>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</sst>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17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UV%20-%20Outstand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Copy%20of%20NASIM%20TRANSPORT%20ANNEXURE%20BILL%20UNV%2016%20AUGUST-TO%2019-SEPTEMBER%20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Copy%20of%20Copy%20of%20UV%20-%20Aug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B1" t="str">
            <v>Docket</v>
          </cell>
          <cell r="C1" t="str">
            <v>Client</v>
          </cell>
          <cell r="D1" t="str">
            <v>Category</v>
          </cell>
          <cell r="E1" t="str">
            <v>Site ID</v>
          </cell>
          <cell r="F1" t="str">
            <v>INV DATE</v>
          </cell>
          <cell r="G1" t="str">
            <v>c  vc</v>
          </cell>
          <cell r="H1" t="str">
            <v>NAME OF THE VENDOR</v>
          </cell>
          <cell r="I1" t="str">
            <v>PAN NO</v>
          </cell>
          <cell r="J1" t="str">
            <v>GSTN NO</v>
          </cell>
          <cell r="K1" t="str">
            <v>From Site</v>
          </cell>
          <cell r="L1" t="str">
            <v>State</v>
          </cell>
          <cell r="M1" t="str">
            <v>To site</v>
          </cell>
          <cell r="N1" t="str">
            <v>State</v>
          </cell>
          <cell r="O1" t="str">
            <v>PARTICULARS</v>
          </cell>
          <cell r="P1" t="str">
            <v>BASE AMT</v>
          </cell>
          <cell r="Q1" t="str">
            <v>NON BASE AMT</v>
          </cell>
          <cell r="R1" t="str">
            <v>CGST</v>
          </cell>
          <cell r="S1" t="str">
            <v>SGST</v>
          </cell>
          <cell r="T1" t="str">
            <v>IGST</v>
          </cell>
          <cell r="U1" t="str">
            <v>Freight</v>
          </cell>
          <cell r="V1" t="str">
            <v>TOTAL INV AMT</v>
          </cell>
          <cell r="W1" t="str">
            <v>TDS AMT</v>
          </cell>
          <cell r="X1" t="str">
            <v>TDS Percentage</v>
          </cell>
          <cell r="Y1" t="str">
            <v>NET PAYABLE</v>
          </cell>
          <cell r="Z1" t="str">
            <v>I AMOUNT PAID</v>
          </cell>
          <cell r="AA1" t="str">
            <v>II AMOUNT PAID</v>
          </cell>
          <cell r="AB1" t="str">
            <v>GST Payment</v>
          </cell>
          <cell r="AC1" t="str">
            <v>BALANCE AMOUNT As per U&amp;V</v>
          </cell>
          <cell r="AD1" t="str">
            <v xml:space="preserve">Advance payment </v>
          </cell>
          <cell r="AE1" t="str">
            <v>Date</v>
          </cell>
          <cell r="AF1" t="str">
            <v>UTR no.</v>
          </cell>
          <cell r="AG1" t="str">
            <v>II nd payment</v>
          </cell>
          <cell r="AH1" t="str">
            <v>Date</v>
          </cell>
          <cell r="AI1" t="str">
            <v>UTR no.</v>
          </cell>
          <cell r="AJ1" t="str">
            <v>Actual Invoice Amount ( Base Amount )</v>
          </cell>
        </row>
        <row r="2">
          <cell r="C2" t="str">
            <v>Hitachi</v>
          </cell>
          <cell r="D2" t="str">
            <v>Assets Shifting</v>
          </cell>
          <cell r="E2" t="str">
            <v>MCRM4090</v>
          </cell>
          <cell r="F2">
            <v>45719</v>
          </cell>
          <cell r="G2" t="str">
            <v>SSS/2024-25/0118</v>
          </cell>
          <cell r="H2" t="str">
            <v>Str8 &amp; Secure Services</v>
          </cell>
          <cell r="I2" t="str">
            <v>AQIPG2144B</v>
          </cell>
          <cell r="J2" t="str">
            <v>07AQIPG2144B1ZF</v>
          </cell>
          <cell r="K2" t="str">
            <v>Shop no.49/8,kamliwad,Bhneslore, nani daman Near dunetha udyog bhavan pin code 396210</v>
          </cell>
          <cell r="L2" t="str">
            <v>Daman</v>
          </cell>
          <cell r="M2" t="str">
            <v>83, Modasa road, SAGPUR, TA-TALOD,AHEMDABAD, GUJARAT-383307</v>
          </cell>
          <cell r="N2" t="str">
            <v>Gujarat</v>
          </cell>
          <cell r="O2" t="str">
            <v>Assets Shifting</v>
          </cell>
          <cell r="P2">
            <v>16000</v>
          </cell>
          <cell r="Q2">
            <v>0</v>
          </cell>
          <cell r="R2">
            <v>0</v>
          </cell>
          <cell r="S2">
            <v>0</v>
          </cell>
          <cell r="T2">
            <v>2880</v>
          </cell>
          <cell r="U2">
            <v>0</v>
          </cell>
          <cell r="V2">
            <v>18880</v>
          </cell>
          <cell r="W2">
            <v>160</v>
          </cell>
          <cell r="X2">
            <v>0.01</v>
          </cell>
          <cell r="Y2">
            <v>18720</v>
          </cell>
          <cell r="Z2">
            <v>18720</v>
          </cell>
          <cell r="AC2">
            <v>0</v>
          </cell>
          <cell r="AD2">
            <v>18720</v>
          </cell>
          <cell r="AE2">
            <v>45784</v>
          </cell>
          <cell r="AJ2">
            <v>16000</v>
          </cell>
        </row>
        <row r="3">
          <cell r="C3" t="str">
            <v>Hitachi</v>
          </cell>
          <cell r="D3" t="str">
            <v>Assets Shifting</v>
          </cell>
          <cell r="E3" t="str">
            <v>MCRM4090</v>
          </cell>
          <cell r="F3">
            <v>45719</v>
          </cell>
          <cell r="G3" t="str">
            <v>SSS/2024-25/0119</v>
          </cell>
          <cell r="H3" t="str">
            <v>Str8 &amp; Secure Services</v>
          </cell>
          <cell r="I3" t="str">
            <v>AQIPG2144B</v>
          </cell>
          <cell r="J3" t="str">
            <v>07AQIPG2144B1ZF</v>
          </cell>
          <cell r="K3" t="str">
            <v>Shop no.49/8,kamliwad,Bhneslore, nani daman Near dunetha udyog bhavan pin code 396210</v>
          </cell>
          <cell r="L3" t="str">
            <v>Daman</v>
          </cell>
          <cell r="M3" t="str">
            <v>Kishore Bagai Transport, l-2 Jai Mata Di Compound , 2nd left next to Hetvi Textile, Kalher Bhiwandi, Maharashtra - 421302</v>
          </cell>
          <cell r="N3" t="str">
            <v>Maharashtra</v>
          </cell>
          <cell r="O3" t="str">
            <v>Assets Shifting</v>
          </cell>
          <cell r="P3">
            <v>6000</v>
          </cell>
          <cell r="Q3">
            <v>0</v>
          </cell>
          <cell r="R3">
            <v>0</v>
          </cell>
          <cell r="S3">
            <v>0</v>
          </cell>
          <cell r="T3">
            <v>1080</v>
          </cell>
          <cell r="U3">
            <v>0</v>
          </cell>
          <cell r="V3">
            <v>7080</v>
          </cell>
          <cell r="W3">
            <v>60</v>
          </cell>
          <cell r="X3">
            <v>0.01</v>
          </cell>
          <cell r="Y3">
            <v>7020</v>
          </cell>
          <cell r="Z3">
            <v>7020</v>
          </cell>
          <cell r="AC3">
            <v>0</v>
          </cell>
          <cell r="AD3">
            <v>7020</v>
          </cell>
          <cell r="AE3">
            <v>45784</v>
          </cell>
          <cell r="AJ3">
            <v>6000</v>
          </cell>
        </row>
        <row r="4">
          <cell r="C4" t="str">
            <v>Hitachi</v>
          </cell>
          <cell r="D4" t="str">
            <v>Assets Shifting</v>
          </cell>
          <cell r="E4" t="str">
            <v>MPZ10934</v>
          </cell>
          <cell r="F4">
            <v>45719</v>
          </cell>
          <cell r="G4" t="str">
            <v>SSS/2024-25/0118</v>
          </cell>
          <cell r="H4" t="str">
            <v>Str8 &amp; Secure Services</v>
          </cell>
          <cell r="I4" t="str">
            <v>AQIPG2144B</v>
          </cell>
          <cell r="J4" t="str">
            <v>07AQIPG2144B1ZF</v>
          </cell>
          <cell r="K4" t="str">
            <v>Ganpati Real Estate Bhamia Kalan, Tajpur Road , Punjab 141015</v>
          </cell>
          <cell r="L4" t="str">
            <v>Punjab</v>
          </cell>
          <cell r="M4" t="str">
            <v>Shop no-1,near pnb atm,kasar,jhajjar,haryana</v>
          </cell>
          <cell r="N4" t="str">
            <v>Haryana</v>
          </cell>
          <cell r="O4" t="str">
            <v>Assets Shifting</v>
          </cell>
          <cell r="P4">
            <v>19500</v>
          </cell>
          <cell r="Q4">
            <v>0</v>
          </cell>
          <cell r="R4">
            <v>0</v>
          </cell>
          <cell r="S4">
            <v>0</v>
          </cell>
          <cell r="T4">
            <v>3510</v>
          </cell>
          <cell r="U4">
            <v>0</v>
          </cell>
          <cell r="V4">
            <v>23010</v>
          </cell>
          <cell r="W4">
            <v>195</v>
          </cell>
          <cell r="X4">
            <v>0.01</v>
          </cell>
          <cell r="Y4">
            <v>22815</v>
          </cell>
          <cell r="Z4">
            <v>22815</v>
          </cell>
          <cell r="AC4">
            <v>0</v>
          </cell>
          <cell r="AD4">
            <v>22815</v>
          </cell>
          <cell r="AE4">
            <v>45784</v>
          </cell>
          <cell r="AJ4">
            <v>19500</v>
          </cell>
        </row>
        <row r="5">
          <cell r="C5" t="str">
            <v>Hitachi</v>
          </cell>
          <cell r="D5" t="str">
            <v>Assets Shifting</v>
          </cell>
          <cell r="E5" t="str">
            <v>E2190500</v>
          </cell>
          <cell r="F5">
            <v>45719</v>
          </cell>
          <cell r="G5" t="str">
            <v>SSS/2024-25/0123</v>
          </cell>
          <cell r="H5" t="str">
            <v>Str8 &amp; Secure Services</v>
          </cell>
          <cell r="I5" t="str">
            <v>AQIPG2144B</v>
          </cell>
          <cell r="J5" t="str">
            <v>07AQIPG2144B1ZF</v>
          </cell>
          <cell r="K5" t="str">
            <v>VPO GHAL KALAN MOGA PB 142001</v>
          </cell>
          <cell r="L5" t="str">
            <v>Punjab</v>
          </cell>
          <cell r="M5" t="str">
            <v>ISF College of Pharmacy, Moga PB- 142001</v>
          </cell>
          <cell r="N5" t="str">
            <v>Punjab</v>
          </cell>
          <cell r="O5" t="str">
            <v>Assets Shifting</v>
          </cell>
          <cell r="P5">
            <v>4800</v>
          </cell>
          <cell r="Q5">
            <v>0</v>
          </cell>
          <cell r="R5">
            <v>0</v>
          </cell>
          <cell r="S5">
            <v>0</v>
          </cell>
          <cell r="T5">
            <v>864</v>
          </cell>
          <cell r="U5">
            <v>0</v>
          </cell>
          <cell r="V5">
            <v>5664</v>
          </cell>
          <cell r="W5">
            <v>48</v>
          </cell>
          <cell r="X5">
            <v>0.01</v>
          </cell>
          <cell r="Y5">
            <v>5616</v>
          </cell>
          <cell r="Z5">
            <v>5616</v>
          </cell>
          <cell r="AC5">
            <v>0</v>
          </cell>
          <cell r="AD5">
            <v>5616</v>
          </cell>
          <cell r="AE5">
            <v>45784</v>
          </cell>
          <cell r="AJ5">
            <v>4800</v>
          </cell>
        </row>
        <row r="6">
          <cell r="C6" t="str">
            <v>Hitachi</v>
          </cell>
          <cell r="D6" t="str">
            <v>Assets Shifting</v>
          </cell>
          <cell r="E6" t="str">
            <v>N2063710</v>
          </cell>
          <cell r="F6">
            <v>45719</v>
          </cell>
          <cell r="G6" t="str">
            <v>SSS/2024-25/0123</v>
          </cell>
          <cell r="H6" t="str">
            <v>Str8 &amp; Secure Services</v>
          </cell>
          <cell r="I6" t="str">
            <v>AQIPG2144B</v>
          </cell>
          <cell r="J6" t="str">
            <v>07AQIPG2144B1ZF</v>
          </cell>
          <cell r="K6" t="str">
            <v>KOTKAPURA ROAD BAGHAPURANA MOGA PB 142038</v>
          </cell>
          <cell r="L6" t="str">
            <v>Punjab</v>
          </cell>
          <cell r="M6" t="str">
            <v>VPO MANUKE THE NIHALSINGHWALA MOGA PB 142034</v>
          </cell>
          <cell r="N6" t="str">
            <v>Punjab</v>
          </cell>
          <cell r="O6" t="str">
            <v>Assets Shifting</v>
          </cell>
          <cell r="P6">
            <v>4800</v>
          </cell>
          <cell r="Q6">
            <v>0</v>
          </cell>
          <cell r="R6">
            <v>0</v>
          </cell>
          <cell r="S6">
            <v>0</v>
          </cell>
          <cell r="T6">
            <v>864</v>
          </cell>
          <cell r="U6">
            <v>0</v>
          </cell>
          <cell r="V6">
            <v>5664</v>
          </cell>
          <cell r="W6">
            <v>48</v>
          </cell>
          <cell r="X6">
            <v>0.01</v>
          </cell>
          <cell r="Y6">
            <v>5616</v>
          </cell>
          <cell r="Z6">
            <v>5616</v>
          </cell>
          <cell r="AC6">
            <v>0</v>
          </cell>
          <cell r="AD6">
            <v>5616</v>
          </cell>
          <cell r="AE6">
            <v>45784</v>
          </cell>
          <cell r="AJ6">
            <v>4800</v>
          </cell>
        </row>
        <row r="7">
          <cell r="C7" t="str">
            <v>Hitachi</v>
          </cell>
          <cell r="D7" t="str">
            <v>Assets Shifting</v>
          </cell>
          <cell r="E7" t="str">
            <v>N3236100</v>
          </cell>
          <cell r="F7">
            <v>45719</v>
          </cell>
          <cell r="G7" t="str">
            <v>SSS/2024-25/0123</v>
          </cell>
          <cell r="H7" t="str">
            <v>Str8 &amp; Secure Services</v>
          </cell>
          <cell r="I7" t="str">
            <v>AQIPG2144B</v>
          </cell>
          <cell r="J7" t="str">
            <v>07AQIPG2144B1ZF</v>
          </cell>
          <cell r="K7" t="str">
            <v>OPP MODERN PUBLIC SCHOOL GURU HAR SAHAI DISTT FEROZPUR PB - 152022</v>
          </cell>
          <cell r="L7" t="str">
            <v>Punjab</v>
          </cell>
          <cell r="M7" t="str">
            <v>BAZAAR NO. 1, NEAR DAV COLLEGE FEROZEPUR CANTT Ferozepur PB 152001</v>
          </cell>
          <cell r="N7" t="str">
            <v>Punjab</v>
          </cell>
          <cell r="O7" t="str">
            <v>Assets Shifting</v>
          </cell>
          <cell r="P7">
            <v>4800</v>
          </cell>
          <cell r="Q7">
            <v>0</v>
          </cell>
          <cell r="R7">
            <v>0</v>
          </cell>
          <cell r="S7">
            <v>0</v>
          </cell>
          <cell r="T7">
            <v>864</v>
          </cell>
          <cell r="U7">
            <v>0</v>
          </cell>
          <cell r="V7">
            <v>5664</v>
          </cell>
          <cell r="W7">
            <v>48</v>
          </cell>
          <cell r="X7">
            <v>0.01</v>
          </cell>
          <cell r="Y7">
            <v>5616</v>
          </cell>
          <cell r="Z7">
            <v>5616</v>
          </cell>
          <cell r="AC7">
            <v>0</v>
          </cell>
          <cell r="AD7">
            <v>5616</v>
          </cell>
          <cell r="AE7">
            <v>45784</v>
          </cell>
          <cell r="AJ7">
            <v>4800</v>
          </cell>
        </row>
        <row r="8">
          <cell r="C8" t="str">
            <v>Hitachi</v>
          </cell>
          <cell r="D8" t="str">
            <v>Assets Shifting</v>
          </cell>
          <cell r="E8" t="str">
            <v>MPZ13073</v>
          </cell>
          <cell r="F8">
            <v>45719</v>
          </cell>
          <cell r="G8" t="str">
            <v>SSS/2024-25/0123</v>
          </cell>
          <cell r="H8" t="str">
            <v>Str8 &amp; Secure Services</v>
          </cell>
          <cell r="I8" t="str">
            <v>AQIPG2144B</v>
          </cell>
          <cell r="J8" t="str">
            <v>07AQIPG2144B1ZF</v>
          </cell>
          <cell r="K8" t="str">
            <v>Shop No. 1, Main Kharkhari Bus Stand, Main Mkt. Kharkhari Manesar Gurgaon Haryana 122503</v>
          </cell>
          <cell r="L8" t="str">
            <v>Haryana</v>
          </cell>
          <cell r="M8" t="str">
            <v>Plot no 123, Sector 56 Phase IV, Industrial estate, kundli sonipat, sonipat, Haryana, 131028</v>
          </cell>
          <cell r="N8" t="str">
            <v>Haryana</v>
          </cell>
          <cell r="O8" t="str">
            <v>Assets Shifting</v>
          </cell>
          <cell r="P8">
            <v>16500</v>
          </cell>
          <cell r="Q8">
            <v>0</v>
          </cell>
          <cell r="R8">
            <v>0</v>
          </cell>
          <cell r="S8">
            <v>0</v>
          </cell>
          <cell r="T8">
            <v>2970</v>
          </cell>
          <cell r="U8">
            <v>0</v>
          </cell>
          <cell r="V8">
            <v>19470</v>
          </cell>
          <cell r="W8">
            <v>165</v>
          </cell>
          <cell r="X8">
            <v>0.01</v>
          </cell>
          <cell r="Y8">
            <v>19305</v>
          </cell>
          <cell r="Z8">
            <v>19305</v>
          </cell>
          <cell r="AC8">
            <v>0</v>
          </cell>
          <cell r="AD8">
            <v>19305</v>
          </cell>
          <cell r="AE8">
            <v>45784</v>
          </cell>
          <cell r="AJ8">
            <v>16500</v>
          </cell>
        </row>
        <row r="9">
          <cell r="C9" t="str">
            <v>Hitachi</v>
          </cell>
          <cell r="D9" t="str">
            <v>Assets Shifting</v>
          </cell>
          <cell r="E9" t="str">
            <v>MPZ11634</v>
          </cell>
          <cell r="F9">
            <v>45719</v>
          </cell>
          <cell r="G9" t="str">
            <v>SSS/2024-25/0123</v>
          </cell>
          <cell r="H9" t="str">
            <v>Str8 &amp; Secure Services</v>
          </cell>
          <cell r="I9" t="str">
            <v>AQIPG2144B</v>
          </cell>
          <cell r="J9" t="str">
            <v>07AQIPG2144B1ZF</v>
          </cell>
          <cell r="K9" t="str">
            <v>Prem Vihar Street No 7, 12 Tibba Road Subhas Nagar Ludhiana Punjab</v>
          </cell>
          <cell r="L9" t="str">
            <v>Punjab</v>
          </cell>
          <cell r="M9" t="str">
            <v>SHOP NO.1, BHADSON CHOWK, OPPISITE CENTRAL BANK, KARNAL, HARYANA</v>
          </cell>
          <cell r="N9" t="str">
            <v>Haryana</v>
          </cell>
          <cell r="O9" t="str">
            <v>Assets Shifting</v>
          </cell>
          <cell r="P9">
            <v>18500</v>
          </cell>
          <cell r="Q9">
            <v>0</v>
          </cell>
          <cell r="R9">
            <v>0</v>
          </cell>
          <cell r="S9">
            <v>0</v>
          </cell>
          <cell r="T9">
            <v>3330</v>
          </cell>
          <cell r="U9">
            <v>0</v>
          </cell>
          <cell r="V9">
            <v>21830</v>
          </cell>
          <cell r="W9">
            <v>185</v>
          </cell>
          <cell r="X9">
            <v>0.01</v>
          </cell>
          <cell r="Y9">
            <v>21645</v>
          </cell>
          <cell r="Z9">
            <v>21645</v>
          </cell>
          <cell r="AC9">
            <v>0</v>
          </cell>
          <cell r="AD9">
            <v>21645</v>
          </cell>
          <cell r="AE9">
            <v>45784</v>
          </cell>
          <cell r="AJ9">
            <v>18500</v>
          </cell>
        </row>
        <row r="10">
          <cell r="C10" t="str">
            <v>Hitachi</v>
          </cell>
          <cell r="D10" t="str">
            <v>Assets Shifting</v>
          </cell>
          <cell r="E10" t="str">
            <v>MPZ13506</v>
          </cell>
          <cell r="F10">
            <v>45719</v>
          </cell>
          <cell r="G10" t="str">
            <v>SSS/2024-25/0120</v>
          </cell>
          <cell r="H10" t="str">
            <v>Str8 &amp; Secure Services</v>
          </cell>
          <cell r="I10" t="str">
            <v>AQIPG2144B</v>
          </cell>
          <cell r="J10" t="str">
            <v>07AQIPG2144B1ZF</v>
          </cell>
          <cell r="K10" t="str">
            <v>SHOP no 1 samshabad , Aligarh Palwal Road Palwal</v>
          </cell>
          <cell r="L10" t="str">
            <v>Haryana</v>
          </cell>
          <cell r="M10" t="str">
            <v>Plot no 123, Sector 56 Phase IV, Industrial estate, kundli sonipat, sonipat, Haryana, 131028</v>
          </cell>
          <cell r="N10" t="str">
            <v>Haryana</v>
          </cell>
          <cell r="O10" t="str">
            <v>Assets Shifting</v>
          </cell>
          <cell r="P10">
            <v>17000</v>
          </cell>
          <cell r="Q10">
            <v>0</v>
          </cell>
          <cell r="R10">
            <v>0</v>
          </cell>
          <cell r="S10">
            <v>0</v>
          </cell>
          <cell r="T10">
            <v>3060</v>
          </cell>
          <cell r="U10">
            <v>0</v>
          </cell>
          <cell r="V10">
            <v>20060</v>
          </cell>
          <cell r="W10">
            <v>170</v>
          </cell>
          <cell r="X10">
            <v>0.01</v>
          </cell>
          <cell r="Y10">
            <v>19890</v>
          </cell>
          <cell r="Z10">
            <v>19890</v>
          </cell>
          <cell r="AC10">
            <v>0</v>
          </cell>
          <cell r="AD10">
            <v>19890</v>
          </cell>
          <cell r="AE10">
            <v>45784</v>
          </cell>
          <cell r="AJ10">
            <v>17000</v>
          </cell>
        </row>
        <row r="11">
          <cell r="C11" t="str">
            <v>Hitachi</v>
          </cell>
          <cell r="D11" t="str">
            <v>Assets Shifting</v>
          </cell>
          <cell r="E11" t="str">
            <v>SPCNR476</v>
          </cell>
          <cell r="F11">
            <v>45719</v>
          </cell>
          <cell r="G11" t="str">
            <v>SSS/2024-25/0123</v>
          </cell>
          <cell r="H11" t="str">
            <v>Str8 &amp; Secure Services</v>
          </cell>
          <cell r="I11" t="str">
            <v>AQIPG2144B</v>
          </cell>
          <cell r="J11" t="str">
            <v>07AQIPG2144B1ZF</v>
          </cell>
          <cell r="K11" t="str">
            <v>Shop no-1,near pnb atm,kasar,jhajjar,haryana</v>
          </cell>
          <cell r="L11" t="str">
            <v>Haryana</v>
          </cell>
          <cell r="M11" t="str">
            <v>Plot no 123, Sector 56 Phase IV, Industrial estate, kundli sonipat, sonipat, Haryana, 131028</v>
          </cell>
          <cell r="N11" t="str">
            <v>Haryana</v>
          </cell>
          <cell r="O11" t="str">
            <v>Assets Shifting</v>
          </cell>
          <cell r="P11">
            <v>13000</v>
          </cell>
          <cell r="Q11">
            <v>0</v>
          </cell>
          <cell r="R11">
            <v>0</v>
          </cell>
          <cell r="S11">
            <v>0</v>
          </cell>
          <cell r="T11">
            <v>2340</v>
          </cell>
          <cell r="U11">
            <v>0</v>
          </cell>
          <cell r="V11">
            <v>15340</v>
          </cell>
          <cell r="W11">
            <v>130</v>
          </cell>
          <cell r="X11">
            <v>0.01</v>
          </cell>
          <cell r="Y11">
            <v>15210</v>
          </cell>
          <cell r="Z11">
            <v>15210</v>
          </cell>
          <cell r="AC11">
            <v>0</v>
          </cell>
          <cell r="AD11">
            <v>15210</v>
          </cell>
          <cell r="AE11">
            <v>45784</v>
          </cell>
          <cell r="AJ11">
            <v>13000</v>
          </cell>
        </row>
        <row r="12">
          <cell r="C12" t="str">
            <v>Hitachi</v>
          </cell>
          <cell r="D12" t="str">
            <v>Assets Shifting</v>
          </cell>
          <cell r="E12" t="str">
            <v>MPZ12155</v>
          </cell>
          <cell r="F12">
            <v>45719</v>
          </cell>
          <cell r="G12" t="str">
            <v>SSS/2024-25/0121</v>
          </cell>
          <cell r="H12" t="str">
            <v>Str8 &amp; Secure Services</v>
          </cell>
          <cell r="I12" t="str">
            <v>AQIPG2144B</v>
          </cell>
          <cell r="J12" t="str">
            <v>07AQIPG2144B1ZF</v>
          </cell>
          <cell r="K12" t="str">
            <v>Ahmedabad warehouse</v>
          </cell>
          <cell r="L12" t="str">
            <v>Gujarat</v>
          </cell>
          <cell r="M12" t="str">
            <v>Plot no 123, Sector 56 Phase IV, Industrial estate, kundli sonipat, sonipat, Haryana, 131028</v>
          </cell>
          <cell r="N12" t="str">
            <v>Haryana</v>
          </cell>
          <cell r="O12" t="str">
            <v>Assets Shifting</v>
          </cell>
          <cell r="P12">
            <v>17000</v>
          </cell>
          <cell r="Q12">
            <v>0</v>
          </cell>
          <cell r="R12">
            <v>0</v>
          </cell>
          <cell r="S12">
            <v>0</v>
          </cell>
          <cell r="T12">
            <v>3060</v>
          </cell>
          <cell r="U12">
            <v>0</v>
          </cell>
          <cell r="V12">
            <v>20060</v>
          </cell>
          <cell r="W12">
            <v>170</v>
          </cell>
          <cell r="X12">
            <v>0.01</v>
          </cell>
          <cell r="Y12">
            <v>19890</v>
          </cell>
          <cell r="Z12">
            <v>19890</v>
          </cell>
          <cell r="AC12">
            <v>0</v>
          </cell>
          <cell r="AD12">
            <v>19890</v>
          </cell>
          <cell r="AE12">
            <v>45784</v>
          </cell>
          <cell r="AJ12">
            <v>17000</v>
          </cell>
        </row>
        <row r="13">
          <cell r="C13" t="str">
            <v>Hitachi</v>
          </cell>
          <cell r="D13" t="str">
            <v>Assets Shifting</v>
          </cell>
          <cell r="E13" t="str">
            <v>MPZ13035</v>
          </cell>
          <cell r="F13">
            <v>45719</v>
          </cell>
          <cell r="G13" t="str">
            <v>SSS/2024-25/0123</v>
          </cell>
          <cell r="H13" t="str">
            <v>Str8 &amp; Secure Services</v>
          </cell>
          <cell r="I13" t="str">
            <v>AQIPG2144B</v>
          </cell>
          <cell r="J13" t="str">
            <v>07AQIPG2144B1ZF</v>
          </cell>
          <cell r="K13" t="str">
            <v>Railway Station Lati Bajar Botad</v>
          </cell>
          <cell r="L13" t="str">
            <v>Gujarat</v>
          </cell>
          <cell r="M13" t="str">
            <v>AT- KANBHA ,DELHI CHAKLA,BORSAD DHUVARAN ROAD</v>
          </cell>
          <cell r="N13" t="str">
            <v>Gujarat</v>
          </cell>
          <cell r="O13" t="str">
            <v>Assets Shifting</v>
          </cell>
          <cell r="P13">
            <v>8500</v>
          </cell>
          <cell r="Q13">
            <v>0</v>
          </cell>
          <cell r="R13">
            <v>0</v>
          </cell>
          <cell r="S13">
            <v>0</v>
          </cell>
          <cell r="T13">
            <v>1530</v>
          </cell>
          <cell r="U13">
            <v>0</v>
          </cell>
          <cell r="V13">
            <v>10030</v>
          </cell>
          <cell r="W13">
            <v>85</v>
          </cell>
          <cell r="X13">
            <v>0.01</v>
          </cell>
          <cell r="Y13">
            <v>9945</v>
          </cell>
          <cell r="Z13">
            <v>9945</v>
          </cell>
          <cell r="AC13">
            <v>0</v>
          </cell>
          <cell r="AD13">
            <v>9945</v>
          </cell>
          <cell r="AE13">
            <v>45784</v>
          </cell>
          <cell r="AJ13">
            <v>8500</v>
          </cell>
        </row>
        <row r="14">
          <cell r="C14" t="str">
            <v>Hitachi</v>
          </cell>
          <cell r="D14" t="str">
            <v>Assets Shifting</v>
          </cell>
          <cell r="E14" t="str">
            <v>MPZ13035</v>
          </cell>
          <cell r="F14">
            <v>45719</v>
          </cell>
          <cell r="G14" t="str">
            <v>SSS/2024-25/0124</v>
          </cell>
          <cell r="H14" t="str">
            <v>Str8 &amp; Secure Services</v>
          </cell>
          <cell r="I14" t="str">
            <v>AQIPG2144B</v>
          </cell>
          <cell r="J14" t="str">
            <v>07AQIPG2144B1ZF</v>
          </cell>
          <cell r="K14" t="str">
            <v>Railway Station Lati Bajar Botad</v>
          </cell>
          <cell r="L14" t="str">
            <v>Gujarat</v>
          </cell>
          <cell r="M14" t="str">
            <v>Kishore Bagai Transport, l-2 Jai Mata Di Compound , 2nd left next to Hetvi Textile, Kalher Bhiwandi, Maharashtra - 421302</v>
          </cell>
          <cell r="N14" t="str">
            <v>Maharashtra</v>
          </cell>
          <cell r="O14" t="str">
            <v>Assets Shifting</v>
          </cell>
          <cell r="P14">
            <v>7000</v>
          </cell>
          <cell r="Q14">
            <v>0</v>
          </cell>
          <cell r="R14">
            <v>0</v>
          </cell>
          <cell r="S14">
            <v>0</v>
          </cell>
          <cell r="T14">
            <v>1260</v>
          </cell>
          <cell r="U14">
            <v>0</v>
          </cell>
          <cell r="V14">
            <v>8260</v>
          </cell>
          <cell r="W14">
            <v>70</v>
          </cell>
          <cell r="X14">
            <v>0.01</v>
          </cell>
          <cell r="Y14">
            <v>8190</v>
          </cell>
          <cell r="Z14">
            <v>8190</v>
          </cell>
          <cell r="AC14">
            <v>0</v>
          </cell>
          <cell r="AD14">
            <v>8190</v>
          </cell>
          <cell r="AE14">
            <v>45784</v>
          </cell>
          <cell r="AJ14">
            <v>7000</v>
          </cell>
        </row>
        <row r="15">
          <cell r="C15" t="str">
            <v>Hitachi</v>
          </cell>
          <cell r="D15" t="str">
            <v>Assets Shifting</v>
          </cell>
          <cell r="E15" t="str">
            <v>MPZ11834</v>
          </cell>
          <cell r="F15">
            <v>45719</v>
          </cell>
          <cell r="G15" t="str">
            <v>SSS/2024-25/0123</v>
          </cell>
          <cell r="H15" t="str">
            <v>Str8 &amp; Secure Services</v>
          </cell>
          <cell r="I15" t="str">
            <v>AQIPG2144B</v>
          </cell>
          <cell r="J15" t="str">
            <v>07AQIPG2144B1ZF</v>
          </cell>
          <cell r="K15" t="str">
            <v>DHANA IMT MANESAR GURGAON H.R 122051</v>
          </cell>
          <cell r="L15" t="str">
            <v>Haryana</v>
          </cell>
          <cell r="M15" t="str">
            <v>Plot no 123, Sector 56 Phase IV, Industrial estate, kundli sonipat, sonipat, Haryana, 131028</v>
          </cell>
          <cell r="N15" t="str">
            <v>Haryana</v>
          </cell>
          <cell r="O15" t="str">
            <v>Assets Shifting</v>
          </cell>
          <cell r="P15">
            <v>16000</v>
          </cell>
          <cell r="Q15">
            <v>0</v>
          </cell>
          <cell r="R15">
            <v>0</v>
          </cell>
          <cell r="S15">
            <v>0</v>
          </cell>
          <cell r="T15">
            <v>2880</v>
          </cell>
          <cell r="U15">
            <v>0</v>
          </cell>
          <cell r="V15">
            <v>18880</v>
          </cell>
          <cell r="W15">
            <v>160</v>
          </cell>
          <cell r="X15">
            <v>0.01</v>
          </cell>
          <cell r="Y15">
            <v>18720</v>
          </cell>
          <cell r="Z15">
            <v>18720</v>
          </cell>
          <cell r="AC15">
            <v>0</v>
          </cell>
          <cell r="AD15">
            <v>18720</v>
          </cell>
          <cell r="AE15">
            <v>45784</v>
          </cell>
          <cell r="AJ15">
            <v>16000</v>
          </cell>
        </row>
        <row r="16">
          <cell r="C16" t="str">
            <v>Hitachi</v>
          </cell>
          <cell r="D16" t="str">
            <v>Assets Shifting</v>
          </cell>
          <cell r="E16" t="str">
            <v>MPZ04201</v>
          </cell>
          <cell r="F16">
            <v>45719</v>
          </cell>
          <cell r="G16" t="str">
            <v>SSS/2024-25/0118</v>
          </cell>
          <cell r="H16" t="str">
            <v>Str8 &amp; Secure Services</v>
          </cell>
          <cell r="I16" t="str">
            <v>AQIPG2144B</v>
          </cell>
          <cell r="J16" t="str">
            <v>07AQIPG2144B1ZF</v>
          </cell>
          <cell r="K16" t="str">
            <v>Village Gorau post Gorau  Tehsil jayal  district Nagaur Rjasthan</v>
          </cell>
          <cell r="L16" t="str">
            <v>Rajasthan</v>
          </cell>
          <cell r="M16" t="str">
            <v>Plot no 123, Sector 56 Phase IV, Industrial estate, kundli sonipat, sonipat, Haryana, 131028</v>
          </cell>
          <cell r="N16" t="str">
            <v>Haryana</v>
          </cell>
          <cell r="O16" t="str">
            <v>Assets Shifting</v>
          </cell>
          <cell r="P16">
            <v>21000</v>
          </cell>
          <cell r="Q16">
            <v>0</v>
          </cell>
          <cell r="R16">
            <v>0</v>
          </cell>
          <cell r="S16">
            <v>0</v>
          </cell>
          <cell r="T16">
            <v>3780</v>
          </cell>
          <cell r="U16">
            <v>0</v>
          </cell>
          <cell r="V16">
            <v>24780</v>
          </cell>
          <cell r="W16">
            <v>210</v>
          </cell>
          <cell r="X16">
            <v>0.01</v>
          </cell>
          <cell r="Y16">
            <v>24570</v>
          </cell>
          <cell r="Z16">
            <v>24570</v>
          </cell>
          <cell r="AC16">
            <v>0</v>
          </cell>
          <cell r="AD16">
            <v>24570</v>
          </cell>
          <cell r="AE16">
            <v>45784</v>
          </cell>
          <cell r="AJ16">
            <v>21000</v>
          </cell>
        </row>
        <row r="17">
          <cell r="C17" t="str">
            <v>Hitachi</v>
          </cell>
          <cell r="D17" t="str">
            <v>Assets Shifting</v>
          </cell>
          <cell r="E17" t="str">
            <v>MPZ10758</v>
          </cell>
          <cell r="F17">
            <v>45719</v>
          </cell>
          <cell r="G17" t="str">
            <v>SSS/2024-25/0122</v>
          </cell>
          <cell r="H17" t="str">
            <v>Str8 &amp; Secure Services</v>
          </cell>
          <cell r="I17" t="str">
            <v>AQIPG2144B</v>
          </cell>
          <cell r="J17" t="str">
            <v>07AQIPG2144B1ZF</v>
          </cell>
          <cell r="K17" t="str">
            <v>5VQX 3GJ BIRTALAB URF TALAB NEEHAR BATHINDA</v>
          </cell>
          <cell r="L17" t="str">
            <v>Punjab</v>
          </cell>
          <cell r="M17" t="str">
            <v>Shop 2 ,Main Bazar SIRSA KALAR</v>
          </cell>
          <cell r="N17" t="str">
            <v>Uttar Pradesh</v>
          </cell>
          <cell r="O17" t="str">
            <v>Assets Shifting</v>
          </cell>
          <cell r="P17">
            <v>20000</v>
          </cell>
          <cell r="Q17">
            <v>0</v>
          </cell>
          <cell r="R17">
            <v>0</v>
          </cell>
          <cell r="S17">
            <v>0</v>
          </cell>
          <cell r="T17">
            <v>3600</v>
          </cell>
          <cell r="U17">
            <v>0</v>
          </cell>
          <cell r="V17">
            <v>23600</v>
          </cell>
          <cell r="W17">
            <v>200</v>
          </cell>
          <cell r="X17">
            <v>0.01</v>
          </cell>
          <cell r="Y17">
            <v>23400</v>
          </cell>
          <cell r="Z17">
            <v>3530</v>
          </cell>
          <cell r="AA17">
            <v>19870</v>
          </cell>
          <cell r="AC17">
            <v>0</v>
          </cell>
          <cell r="AD17">
            <v>3530</v>
          </cell>
          <cell r="AE17">
            <v>45784</v>
          </cell>
          <cell r="AG17">
            <v>19870</v>
          </cell>
          <cell r="AH17">
            <v>45819</v>
          </cell>
          <cell r="AI17" t="str">
            <v>493462631106000006</v>
          </cell>
          <cell r="AJ17">
            <v>20000</v>
          </cell>
        </row>
        <row r="18">
          <cell r="C18" t="str">
            <v>Hitachi</v>
          </cell>
          <cell r="D18" t="str">
            <v>Assets Shifting</v>
          </cell>
          <cell r="E18" t="str">
            <v>6NDEVPUR01</v>
          </cell>
          <cell r="F18">
            <v>45719</v>
          </cell>
          <cell r="G18" t="str">
            <v>SSS/2024-25/0123</v>
          </cell>
          <cell r="H18" t="str">
            <v>Str8 &amp; Secure Services</v>
          </cell>
          <cell r="I18" t="str">
            <v>AQIPG2144B</v>
          </cell>
          <cell r="J18" t="str">
            <v>07AQIPG2144B1ZF</v>
          </cell>
          <cell r="K18" t="str">
            <v>DEVPUR NOBLE TOWER MAIN ROAD NEAR PRICES COLLEGE DEVPURI RAIPUR CHATTISGARH PIN-492015</v>
          </cell>
          <cell r="L18" t="str">
            <v>Chattisgarh</v>
          </cell>
          <cell r="M18" t="str">
            <v>DEVPUR NOBLE TOWER MAIN ROAD NEAR PRICES COLLEGE DEVPURI RAIPUR CHATTISGARH PIN-492015 ( Inside the Branch )</v>
          </cell>
          <cell r="N18" t="str">
            <v>Chattisgarh</v>
          </cell>
          <cell r="O18" t="str">
            <v>Assets Shifting</v>
          </cell>
          <cell r="P18">
            <v>4000</v>
          </cell>
          <cell r="Q18">
            <v>0</v>
          </cell>
          <cell r="R18">
            <v>0</v>
          </cell>
          <cell r="S18">
            <v>0</v>
          </cell>
          <cell r="T18">
            <v>720</v>
          </cell>
          <cell r="U18">
            <v>0</v>
          </cell>
          <cell r="V18">
            <v>4720</v>
          </cell>
          <cell r="W18">
            <v>40</v>
          </cell>
          <cell r="X18">
            <v>0.01</v>
          </cell>
          <cell r="Y18">
            <v>4680</v>
          </cell>
          <cell r="Z18">
            <v>4680</v>
          </cell>
          <cell r="AC18">
            <v>0</v>
          </cell>
          <cell r="AD18">
            <v>4680</v>
          </cell>
          <cell r="AE18">
            <v>45793</v>
          </cell>
          <cell r="AF18">
            <v>762740631605</v>
          </cell>
          <cell r="AJ18">
            <v>4000</v>
          </cell>
        </row>
        <row r="19">
          <cell r="C19" t="str">
            <v>Hitachi</v>
          </cell>
          <cell r="D19" t="str">
            <v>Assets Shifting</v>
          </cell>
          <cell r="E19" t="str">
            <v>N2314600</v>
          </cell>
          <cell r="F19">
            <v>45719</v>
          </cell>
          <cell r="G19" t="str">
            <v>SSS/2024-25/0123</v>
          </cell>
          <cell r="H19" t="str">
            <v>Str8 &amp; Secure Services</v>
          </cell>
          <cell r="I19" t="str">
            <v>AQIPG2144B</v>
          </cell>
          <cell r="J19" t="str">
            <v>07AQIPG2144B1ZF</v>
          </cell>
          <cell r="K19" t="str">
            <v>PNB SURHURPUR, JALALPUR, AMBEDKAR NAGAR UP-224159</v>
          </cell>
          <cell r="L19" t="str">
            <v>Uttar Pradesh</v>
          </cell>
          <cell r="M19" t="str">
            <v>PNB, RAJKIYA INTER COLLEGE, AKBARPUR, (ABMEDKAR NAGAR) : UP-224149</v>
          </cell>
          <cell r="N19" t="str">
            <v>Uttar Pradesh</v>
          </cell>
          <cell r="O19" t="str">
            <v>Assets Shifting</v>
          </cell>
          <cell r="P19">
            <v>5000</v>
          </cell>
          <cell r="Q19">
            <v>0</v>
          </cell>
          <cell r="R19">
            <v>0</v>
          </cell>
          <cell r="S19">
            <v>0</v>
          </cell>
          <cell r="T19">
            <v>900</v>
          </cell>
          <cell r="U19">
            <v>0</v>
          </cell>
          <cell r="V19">
            <v>5900</v>
          </cell>
          <cell r="W19">
            <v>50</v>
          </cell>
          <cell r="X19">
            <v>0.01</v>
          </cell>
          <cell r="Y19">
            <v>5850</v>
          </cell>
          <cell r="Z19">
            <v>5850</v>
          </cell>
          <cell r="AC19">
            <v>0</v>
          </cell>
          <cell r="AD19">
            <v>5850</v>
          </cell>
          <cell r="AE19">
            <v>45793</v>
          </cell>
          <cell r="AF19">
            <v>762740631605</v>
          </cell>
          <cell r="AJ19">
            <v>5000</v>
          </cell>
        </row>
        <row r="20">
          <cell r="C20" t="str">
            <v>Hitachi</v>
          </cell>
          <cell r="D20" t="str">
            <v>Assets Shifting</v>
          </cell>
          <cell r="E20" t="str">
            <v>S1AWUP03</v>
          </cell>
          <cell r="F20">
            <v>45719</v>
          </cell>
          <cell r="G20" t="str">
            <v>SSS/2024-25/0123</v>
          </cell>
          <cell r="H20" t="str">
            <v>Str8 &amp; Secure Services</v>
          </cell>
          <cell r="I20" t="str">
            <v>AQIPG2144B</v>
          </cell>
          <cell r="J20" t="str">
            <v>07AQIPG2144B1ZF</v>
          </cell>
          <cell r="K20" t="str">
            <v>HDFC BANK LTD., NAYA BAZAR, BHARWARI - MANJHANPUR ROAD, IN FRONT OF ALLAHABAD BANK, BHARWARI, DIST.- KAUSHAMBHI. UTTAR PRADESH  - 212201.</v>
          </cell>
          <cell r="L20" t="str">
            <v>Uttar Pradesh</v>
          </cell>
          <cell r="M20" t="str">
            <v>HDFC BANK LTD., NAYA BAZAR, BHARWARI - MANJHANPUR ROAD, IN FRONT OF ALLAHABAD BANK, BHARWARI, DIST.- KAUSHAMBHI. UTTAR PRADESH  - 212201.</v>
          </cell>
          <cell r="N20" t="str">
            <v>Uttar Pradesh</v>
          </cell>
          <cell r="O20" t="str">
            <v>Assets Shifting</v>
          </cell>
          <cell r="P20">
            <v>3500</v>
          </cell>
          <cell r="Q20">
            <v>0</v>
          </cell>
          <cell r="R20">
            <v>0</v>
          </cell>
          <cell r="S20">
            <v>0</v>
          </cell>
          <cell r="T20">
            <v>630</v>
          </cell>
          <cell r="U20">
            <v>0</v>
          </cell>
          <cell r="V20">
            <v>4130</v>
          </cell>
          <cell r="W20">
            <v>35</v>
          </cell>
          <cell r="X20">
            <v>0.01</v>
          </cell>
          <cell r="Y20">
            <v>4095</v>
          </cell>
          <cell r="Z20">
            <v>4095</v>
          </cell>
          <cell r="AC20">
            <v>0</v>
          </cell>
          <cell r="AD20">
            <v>4095</v>
          </cell>
          <cell r="AE20">
            <v>45793</v>
          </cell>
          <cell r="AF20">
            <v>762740631605</v>
          </cell>
          <cell r="AJ20">
            <v>3500</v>
          </cell>
        </row>
        <row r="21">
          <cell r="C21" t="str">
            <v>Hitachi</v>
          </cell>
          <cell r="D21" t="str">
            <v>Assets Shifting</v>
          </cell>
          <cell r="E21" t="str">
            <v>E1ACPK01</v>
          </cell>
          <cell r="F21">
            <v>45719</v>
          </cell>
          <cell r="G21" t="str">
            <v>SSS/2024-25/0123</v>
          </cell>
          <cell r="H21" t="str">
            <v>Str8 &amp; Secure Services</v>
          </cell>
          <cell r="I21" t="str">
            <v>AQIPG2144B</v>
          </cell>
          <cell r="J21" t="str">
            <v>07AQIPG2144B1ZF</v>
          </cell>
          <cell r="K21" t="str">
            <v> hdfc Bank Ltd City Castle, Madan Floor Mill, Railway Road, Jalandhar – 144 001</v>
          </cell>
          <cell r="L21" t="str">
            <v>Punjab</v>
          </cell>
          <cell r="M21" t="str">
            <v>HDFC Bank Ltd  Gali no 11 Central Town Ladowali Road uppar Mangnum Gym Jalandhar 144001</v>
          </cell>
          <cell r="N21" t="str">
            <v>Punjab</v>
          </cell>
          <cell r="O21" t="str">
            <v>Assets Shifting</v>
          </cell>
          <cell r="P21">
            <v>3800</v>
          </cell>
          <cell r="Q21">
            <v>0</v>
          </cell>
          <cell r="R21">
            <v>0</v>
          </cell>
          <cell r="S21">
            <v>0</v>
          </cell>
          <cell r="T21">
            <v>684</v>
          </cell>
          <cell r="U21">
            <v>0</v>
          </cell>
          <cell r="V21">
            <v>4484</v>
          </cell>
          <cell r="W21">
            <v>38</v>
          </cell>
          <cell r="X21">
            <v>0.01</v>
          </cell>
          <cell r="Y21">
            <v>4446</v>
          </cell>
          <cell r="Z21">
            <v>4446</v>
          </cell>
          <cell r="AC21">
            <v>0</v>
          </cell>
          <cell r="AD21">
            <v>4446</v>
          </cell>
          <cell r="AE21">
            <v>45793</v>
          </cell>
          <cell r="AF21">
            <v>762740631605</v>
          </cell>
          <cell r="AJ21">
            <v>3800</v>
          </cell>
        </row>
        <row r="22">
          <cell r="C22" t="str">
            <v>Hitachi</v>
          </cell>
          <cell r="D22" t="str">
            <v>Assets Shifting</v>
          </cell>
          <cell r="E22" t="str">
            <v>CHJAL002</v>
          </cell>
          <cell r="F22">
            <v>45719</v>
          </cell>
          <cell r="G22" t="str">
            <v>SSS/2024-25/0123</v>
          </cell>
          <cell r="H22" t="str">
            <v>Str8 &amp; Secure Services</v>
          </cell>
          <cell r="I22" t="str">
            <v>AQIPG2144B</v>
          </cell>
          <cell r="J22" t="str">
            <v>07AQIPG2144B1ZF</v>
          </cell>
          <cell r="K22" t="str">
            <v> hdfc Bank Ltd City Castle, Madan Floor Mill, Railway Road, Jalandhar – 144 001</v>
          </cell>
          <cell r="L22" t="str">
            <v>Punjab</v>
          </cell>
          <cell r="M22" t="str">
            <v>HDFC Bank Ltd  Gali no 11 Central Town Ladowali Road uppar Mangnum Gym Jalandhar 144001</v>
          </cell>
          <cell r="N22" t="str">
            <v>Punjab</v>
          </cell>
          <cell r="O22" t="str">
            <v>Assets Shifting</v>
          </cell>
          <cell r="P22">
            <v>3800</v>
          </cell>
          <cell r="Q22">
            <v>0</v>
          </cell>
          <cell r="R22">
            <v>0</v>
          </cell>
          <cell r="S22">
            <v>0</v>
          </cell>
          <cell r="T22">
            <v>684</v>
          </cell>
          <cell r="U22">
            <v>0</v>
          </cell>
          <cell r="V22">
            <v>4484</v>
          </cell>
          <cell r="W22">
            <v>38</v>
          </cell>
          <cell r="X22">
            <v>0.01</v>
          </cell>
          <cell r="Y22">
            <v>4446</v>
          </cell>
          <cell r="Z22">
            <v>4446</v>
          </cell>
          <cell r="AC22">
            <v>0</v>
          </cell>
          <cell r="AD22">
            <v>4446</v>
          </cell>
          <cell r="AE22">
            <v>45793</v>
          </cell>
          <cell r="AF22">
            <v>762740631605</v>
          </cell>
          <cell r="AJ22">
            <v>3800</v>
          </cell>
        </row>
        <row r="23">
          <cell r="C23" t="str">
            <v>Hitachi</v>
          </cell>
          <cell r="D23" t="str">
            <v>Assets Shifting</v>
          </cell>
          <cell r="E23" t="str">
            <v>MPZ11156</v>
          </cell>
          <cell r="F23">
            <v>45719</v>
          </cell>
          <cell r="G23" t="str">
            <v>SSS/2024-25/0123</v>
          </cell>
          <cell r="H23" t="str">
            <v>Str8 &amp; Secure Services</v>
          </cell>
          <cell r="I23" t="str">
            <v>AQIPG2144B</v>
          </cell>
          <cell r="J23" t="str">
            <v>07AQIPG2144B1ZF</v>
          </cell>
          <cell r="K23" t="str">
            <v>Shop at Near Luhinga Bus Stand, Main Market, Punhana Road, Luhinga Punhana Mewat Haryana 122508</v>
          </cell>
          <cell r="L23" t="str">
            <v>Haryana</v>
          </cell>
          <cell r="M23" t="str">
            <v>Plot no 123, Sector 56 Phase IV, Industrial estate, kundli sonipat, sonipat, Haryana, 131028</v>
          </cell>
          <cell r="N23" t="str">
            <v>Haryana</v>
          </cell>
          <cell r="O23" t="str">
            <v>Assets Shifting</v>
          </cell>
          <cell r="P23">
            <v>16000</v>
          </cell>
          <cell r="Q23">
            <v>0</v>
          </cell>
          <cell r="R23">
            <v>0</v>
          </cell>
          <cell r="S23">
            <v>0</v>
          </cell>
          <cell r="T23">
            <v>2880</v>
          </cell>
          <cell r="U23">
            <v>0</v>
          </cell>
          <cell r="V23">
            <v>18880</v>
          </cell>
          <cell r="W23">
            <v>160</v>
          </cell>
          <cell r="X23">
            <v>0.01</v>
          </cell>
          <cell r="Y23">
            <v>18720</v>
          </cell>
          <cell r="Z23">
            <v>18720</v>
          </cell>
          <cell r="AC23">
            <v>0</v>
          </cell>
          <cell r="AD23">
            <v>18720</v>
          </cell>
          <cell r="AE23">
            <v>45793</v>
          </cell>
          <cell r="AF23">
            <v>762740631605</v>
          </cell>
          <cell r="AJ23">
            <v>16000</v>
          </cell>
        </row>
        <row r="24">
          <cell r="C24" t="str">
            <v>Hitachi</v>
          </cell>
          <cell r="D24" t="str">
            <v>Assets Shifting</v>
          </cell>
          <cell r="E24" t="str">
            <v>MPZ12212</v>
          </cell>
          <cell r="F24">
            <v>45719</v>
          </cell>
          <cell r="G24" t="str">
            <v>SSS/2024-25/0123</v>
          </cell>
          <cell r="H24" t="str">
            <v>Str8 &amp; Secure Services</v>
          </cell>
          <cell r="I24" t="str">
            <v>AQIPG2144B</v>
          </cell>
          <cell r="J24" t="str">
            <v>07AQIPG2144B1ZF</v>
          </cell>
          <cell r="K24" t="str">
            <v>Shop at Near Tigaon Auto Stand , Tigaon Village Nuh Mewat , Haryana 122508</v>
          </cell>
          <cell r="L24" t="str">
            <v>Haryana</v>
          </cell>
          <cell r="M24" t="str">
            <v>Plot no 123, Sector 56 Phase IV, Industrial estate, kundli sonipat, sonipat, Haryana, 131028</v>
          </cell>
          <cell r="N24" t="str">
            <v>Haryana</v>
          </cell>
          <cell r="O24" t="str">
            <v>Assets Shifting</v>
          </cell>
          <cell r="P24">
            <v>16000</v>
          </cell>
          <cell r="Q24">
            <v>0</v>
          </cell>
          <cell r="R24">
            <v>0</v>
          </cell>
          <cell r="S24">
            <v>0</v>
          </cell>
          <cell r="T24">
            <v>2880</v>
          </cell>
          <cell r="U24">
            <v>0</v>
          </cell>
          <cell r="V24">
            <v>18880</v>
          </cell>
          <cell r="W24">
            <v>160</v>
          </cell>
          <cell r="X24">
            <v>0.01</v>
          </cell>
          <cell r="Y24">
            <v>18720</v>
          </cell>
          <cell r="Z24">
            <v>18720</v>
          </cell>
          <cell r="AC24">
            <v>0</v>
          </cell>
          <cell r="AD24">
            <v>18720</v>
          </cell>
          <cell r="AE24">
            <v>45793</v>
          </cell>
          <cell r="AF24">
            <v>762740631605</v>
          </cell>
          <cell r="AJ24">
            <v>16000</v>
          </cell>
        </row>
        <row r="25">
          <cell r="C25" t="str">
            <v>Hitachi</v>
          </cell>
          <cell r="D25" t="str">
            <v>Assets Shifting</v>
          </cell>
          <cell r="E25" t="str">
            <v>6FBAHADA01</v>
          </cell>
          <cell r="F25">
            <v>45719</v>
          </cell>
          <cell r="G25" t="str">
            <v>SSS/2024-25/0123</v>
          </cell>
          <cell r="H25" t="str">
            <v>Str8 &amp; Secure Services</v>
          </cell>
          <cell r="I25" t="str">
            <v>AQIPG2144B</v>
          </cell>
          <cell r="J25" t="str">
            <v>07AQIPG2144B1ZF</v>
          </cell>
          <cell r="K25" t="str">
            <v>Gola Gamdi Bus Stop Near Yogirj Petroleum 391125.</v>
          </cell>
          <cell r="L25" t="str">
            <v>Gujarat</v>
          </cell>
          <cell r="M25" t="str">
            <v>ABC Business Center Near SBI, Kanat Road Naswadi - 391150</v>
          </cell>
          <cell r="N25" t="str">
            <v>Gujarat</v>
          </cell>
          <cell r="O25" t="str">
            <v>Assets Shifting</v>
          </cell>
          <cell r="P25">
            <v>9000</v>
          </cell>
          <cell r="Q25">
            <v>0</v>
          </cell>
          <cell r="R25">
            <v>0</v>
          </cell>
          <cell r="S25">
            <v>0</v>
          </cell>
          <cell r="T25">
            <v>1620</v>
          </cell>
          <cell r="U25">
            <v>0</v>
          </cell>
          <cell r="V25">
            <v>10620</v>
          </cell>
          <cell r="W25">
            <v>90</v>
          </cell>
          <cell r="X25">
            <v>0.01</v>
          </cell>
          <cell r="Y25">
            <v>10530</v>
          </cell>
          <cell r="Z25">
            <v>10530</v>
          </cell>
          <cell r="AC25">
            <v>0</v>
          </cell>
          <cell r="AD25">
            <v>10530</v>
          </cell>
          <cell r="AE25">
            <v>45793</v>
          </cell>
          <cell r="AF25">
            <v>762740631605</v>
          </cell>
          <cell r="AJ25">
            <v>9000</v>
          </cell>
        </row>
        <row r="26">
          <cell r="C26" t="str">
            <v>Hitachi</v>
          </cell>
          <cell r="D26" t="str">
            <v>Assets Shifting</v>
          </cell>
          <cell r="E26" t="str">
            <v>S1ANMQ01</v>
          </cell>
          <cell r="F26">
            <v>45719</v>
          </cell>
          <cell r="G26" t="str">
            <v>SSS/2024-25/0123</v>
          </cell>
          <cell r="H26" t="str">
            <v>Str8 &amp; Secure Services</v>
          </cell>
          <cell r="I26" t="str">
            <v>AQIPG2144B</v>
          </cell>
          <cell r="J26" t="str">
            <v>07AQIPG2144B1ZF</v>
          </cell>
          <cell r="K26" t="str">
            <v>381,, Western Kachehari Road, , Meerut, Uttar Pradesh, 250001</v>
          </cell>
          <cell r="L26" t="str">
            <v>Uttar Pradesh</v>
          </cell>
          <cell r="M26" t="str">
            <v>Main Gate (Sadar) Of Darul Uloom, Deoband (247554)</v>
          </cell>
          <cell r="N26" t="str">
            <v>Uttar Pradesh</v>
          </cell>
          <cell r="O26" t="str">
            <v>Assets Shifting</v>
          </cell>
          <cell r="P26">
            <v>8500</v>
          </cell>
          <cell r="Q26">
            <v>0</v>
          </cell>
          <cell r="R26">
            <v>0</v>
          </cell>
          <cell r="S26">
            <v>0</v>
          </cell>
          <cell r="T26">
            <v>1530</v>
          </cell>
          <cell r="U26">
            <v>0</v>
          </cell>
          <cell r="V26">
            <v>10030</v>
          </cell>
          <cell r="W26">
            <v>85</v>
          </cell>
          <cell r="X26">
            <v>0.01</v>
          </cell>
          <cell r="Y26">
            <v>9945</v>
          </cell>
          <cell r="Z26">
            <v>9945</v>
          </cell>
          <cell r="AC26">
            <v>0</v>
          </cell>
          <cell r="AD26">
            <v>9945</v>
          </cell>
          <cell r="AE26">
            <v>45793</v>
          </cell>
          <cell r="AF26">
            <v>762740631605</v>
          </cell>
          <cell r="AJ26">
            <v>8500</v>
          </cell>
        </row>
        <row r="27">
          <cell r="C27" t="str">
            <v>Hitachi</v>
          </cell>
          <cell r="D27" t="str">
            <v>Assets Shifting</v>
          </cell>
          <cell r="E27" t="str">
            <v>S1ANJY01</v>
          </cell>
          <cell r="F27">
            <v>45719</v>
          </cell>
          <cell r="G27" t="str">
            <v>SSS/2024-25/0123</v>
          </cell>
          <cell r="H27" t="str">
            <v>Str8 &amp; Secure Services</v>
          </cell>
          <cell r="I27" t="str">
            <v>AQIPG2144B</v>
          </cell>
          <cell r="J27" t="str">
            <v>07AQIPG2144B1ZF</v>
          </cell>
          <cell r="K27" t="str">
            <v>Hotel Surya Lok, Clock Tower, Station Road, Saharanpur, Uttar Pradesh -247001</v>
          </cell>
          <cell r="L27" t="str">
            <v>Uttar Pradesh</v>
          </cell>
          <cell r="M27" t="str">
            <v>Main Gate (Sadar) Of Darul Uloom, Deoband (247554)</v>
          </cell>
          <cell r="N27" t="str">
            <v>Uttar Pradesh</v>
          </cell>
          <cell r="O27" t="str">
            <v>Assets Shifting</v>
          </cell>
          <cell r="P27">
            <v>7500</v>
          </cell>
          <cell r="Q27">
            <v>0</v>
          </cell>
          <cell r="R27">
            <v>0</v>
          </cell>
          <cell r="S27">
            <v>0</v>
          </cell>
          <cell r="T27">
            <v>1350</v>
          </cell>
          <cell r="U27">
            <v>0</v>
          </cell>
          <cell r="V27">
            <v>8850</v>
          </cell>
          <cell r="W27">
            <v>75</v>
          </cell>
          <cell r="X27">
            <v>0.01</v>
          </cell>
          <cell r="Y27">
            <v>8775</v>
          </cell>
          <cell r="Z27">
            <v>8775</v>
          </cell>
          <cell r="AC27">
            <v>0</v>
          </cell>
          <cell r="AD27">
            <v>8775</v>
          </cell>
          <cell r="AE27">
            <v>45793</v>
          </cell>
          <cell r="AF27">
            <v>762740631605</v>
          </cell>
          <cell r="AJ27">
            <v>7500</v>
          </cell>
        </row>
        <row r="28">
          <cell r="C28" t="str">
            <v>Hitachi</v>
          </cell>
          <cell r="D28" t="str">
            <v>Assets Shifting</v>
          </cell>
          <cell r="E28" t="str">
            <v>RE100017</v>
          </cell>
          <cell r="F28">
            <v>45719</v>
          </cell>
          <cell r="G28" t="str">
            <v>SSS/2024-25/0123</v>
          </cell>
          <cell r="H28" t="str">
            <v>Str8 &amp; Secure Services</v>
          </cell>
          <cell r="I28" t="str">
            <v>AQIPG2144B</v>
          </cell>
          <cell r="J28" t="str">
            <v>07AQIPG2144B1ZF</v>
          </cell>
          <cell r="K28" t="str">
            <v>RBL Bank ATM Centre, shop no. 14 -15,dlf capital point,baba khadag singh marg,canaught place, New Delhi - 110 001.</v>
          </cell>
          <cell r="L28" t="str">
            <v>Delhi</v>
          </cell>
          <cell r="M28" t="str">
            <v>84, Janpath, Connaught Place, New Delhi 110001</v>
          </cell>
          <cell r="N28" t="str">
            <v>Delhi</v>
          </cell>
          <cell r="O28" t="str">
            <v>Assets Shifting</v>
          </cell>
          <cell r="P28">
            <v>5500</v>
          </cell>
          <cell r="Q28">
            <v>0</v>
          </cell>
          <cell r="R28">
            <v>0</v>
          </cell>
          <cell r="S28">
            <v>0</v>
          </cell>
          <cell r="T28">
            <v>990</v>
          </cell>
          <cell r="U28">
            <v>0</v>
          </cell>
          <cell r="V28">
            <v>6490</v>
          </cell>
          <cell r="W28">
            <v>55</v>
          </cell>
          <cell r="X28">
            <v>0.01</v>
          </cell>
          <cell r="Y28">
            <v>6435</v>
          </cell>
          <cell r="Z28">
            <v>6435</v>
          </cell>
          <cell r="AC28">
            <v>0</v>
          </cell>
          <cell r="AD28">
            <v>6435</v>
          </cell>
          <cell r="AE28">
            <v>45793</v>
          </cell>
          <cell r="AF28">
            <v>762740631605</v>
          </cell>
          <cell r="AJ28">
            <v>5500</v>
          </cell>
        </row>
        <row r="29">
          <cell r="C29" t="str">
            <v>Hitachi</v>
          </cell>
          <cell r="D29" t="str">
            <v>Assets Shifting</v>
          </cell>
          <cell r="E29" t="str">
            <v>6BCOLIND02</v>
          </cell>
          <cell r="F29">
            <v>45719</v>
          </cell>
          <cell r="G29" t="str">
            <v>SSS/2024-25/0123</v>
          </cell>
          <cell r="H29" t="str">
            <v>Str8 &amp; Secure Services</v>
          </cell>
          <cell r="I29" t="str">
            <v>AQIPG2144B</v>
          </cell>
          <cell r="J29" t="str">
            <v>07AQIPG2144B1ZF</v>
          </cell>
          <cell r="K29" t="str">
            <v>COLIND  A.B.ROAD BRANCH 13 OLD PALASIA  INDORE  MADHYA PRADESH  PIN-452018</v>
          </cell>
          <cell r="L29" t="str">
            <v>Madhya Pradesh</v>
          </cell>
          <cell r="M29" t="str">
            <v>Ground Floor Rhythm Corporate, 20/ 2 South Tukoganj, A B Road Indore MP(452001)</v>
          </cell>
          <cell r="N29" t="str">
            <v>Madhya Pradesh</v>
          </cell>
          <cell r="O29" t="str">
            <v>Assets Shifting</v>
          </cell>
          <cell r="P29">
            <v>4500</v>
          </cell>
          <cell r="Q29">
            <v>0</v>
          </cell>
          <cell r="R29">
            <v>0</v>
          </cell>
          <cell r="S29">
            <v>0</v>
          </cell>
          <cell r="T29">
            <v>810</v>
          </cell>
          <cell r="U29">
            <v>0</v>
          </cell>
          <cell r="V29">
            <v>5310</v>
          </cell>
          <cell r="W29">
            <v>45</v>
          </cell>
          <cell r="X29">
            <v>0.01</v>
          </cell>
          <cell r="Y29">
            <v>5265</v>
          </cell>
          <cell r="Z29">
            <v>5265</v>
          </cell>
          <cell r="AC29">
            <v>0</v>
          </cell>
          <cell r="AD29">
            <v>5265</v>
          </cell>
          <cell r="AE29">
            <v>45793</v>
          </cell>
          <cell r="AF29">
            <v>762740631605</v>
          </cell>
          <cell r="AJ29">
            <v>4500</v>
          </cell>
        </row>
        <row r="30">
          <cell r="C30" t="str">
            <v>Hitachi</v>
          </cell>
          <cell r="D30" t="str">
            <v>Assets Shifting</v>
          </cell>
          <cell r="E30" t="str">
            <v>MPB01925</v>
          </cell>
          <cell r="F30">
            <v>45719</v>
          </cell>
          <cell r="G30" t="str">
            <v>SSS/2024-25/0125</v>
          </cell>
          <cell r="H30" t="str">
            <v>Str8 &amp; Secure Services</v>
          </cell>
          <cell r="I30" t="str">
            <v>AQIPG2144B</v>
          </cell>
          <cell r="J30" t="str">
            <v>07AQIPG2144B1ZF</v>
          </cell>
          <cell r="K30" t="str">
            <v>Railway Rd, near Grand Trunk Road, Ganaur, Haryana 131101</v>
          </cell>
          <cell r="L30" t="str">
            <v>Haryana</v>
          </cell>
          <cell r="M30" t="str">
            <v>Plot no 123, Sector 56 Phase IV, Industrial estate, kundli sonipat, sonipat, Haryana, 131028</v>
          </cell>
          <cell r="N30" t="str">
            <v>Haryana</v>
          </cell>
          <cell r="O30" t="str">
            <v>Assets Shifting</v>
          </cell>
          <cell r="P30">
            <v>15500</v>
          </cell>
          <cell r="Q30">
            <v>0</v>
          </cell>
          <cell r="R30">
            <v>0</v>
          </cell>
          <cell r="S30">
            <v>0</v>
          </cell>
          <cell r="T30">
            <v>2790</v>
          </cell>
          <cell r="U30">
            <v>0</v>
          </cell>
          <cell r="V30">
            <v>18290</v>
          </cell>
          <cell r="W30">
            <v>155</v>
          </cell>
          <cell r="X30">
            <v>0.01</v>
          </cell>
          <cell r="Y30">
            <v>18135</v>
          </cell>
          <cell r="Z30">
            <v>18135</v>
          </cell>
          <cell r="AC30">
            <v>0</v>
          </cell>
          <cell r="AD30">
            <v>18135</v>
          </cell>
          <cell r="AE30">
            <v>45793</v>
          </cell>
          <cell r="AF30">
            <v>762740631605</v>
          </cell>
          <cell r="AJ30">
            <v>15500</v>
          </cell>
        </row>
        <row r="31">
          <cell r="C31" t="str">
            <v>Hitachi</v>
          </cell>
          <cell r="D31" t="str">
            <v>Assets Shifting</v>
          </cell>
          <cell r="E31" t="str">
            <v>Warehouse Rent</v>
          </cell>
          <cell r="F31">
            <v>45719</v>
          </cell>
          <cell r="G31" t="str">
            <v>SSS/2024-25/0126</v>
          </cell>
          <cell r="H31" t="str">
            <v>Str8 &amp; Secure Services</v>
          </cell>
          <cell r="I31" t="str">
            <v>AQIPG2144B</v>
          </cell>
          <cell r="J31" t="str">
            <v>07AQIPG2144B1ZF</v>
          </cell>
          <cell r="K31" t="str">
            <v>Ahmedabad warehouse</v>
          </cell>
          <cell r="L31" t="str">
            <v>Gujarat</v>
          </cell>
          <cell r="M31" t="str">
            <v>Ahmedabad warehouse</v>
          </cell>
          <cell r="N31" t="str">
            <v>Gujarat</v>
          </cell>
          <cell r="O31" t="str">
            <v>Assets Shifting</v>
          </cell>
          <cell r="P31">
            <v>22500</v>
          </cell>
          <cell r="Q31">
            <v>0</v>
          </cell>
          <cell r="R31">
            <v>0</v>
          </cell>
          <cell r="S31">
            <v>0</v>
          </cell>
          <cell r="T31">
            <v>4050</v>
          </cell>
          <cell r="U31">
            <v>0</v>
          </cell>
          <cell r="V31">
            <v>26550</v>
          </cell>
          <cell r="W31">
            <v>225</v>
          </cell>
          <cell r="X31">
            <v>0.01</v>
          </cell>
          <cell r="Y31">
            <v>26325</v>
          </cell>
          <cell r="Z31">
            <v>26325</v>
          </cell>
          <cell r="AA31">
            <v>0</v>
          </cell>
          <cell r="AC31">
            <v>0</v>
          </cell>
          <cell r="AD31">
            <v>26325</v>
          </cell>
          <cell r="AE31">
            <v>45793</v>
          </cell>
          <cell r="AF31">
            <v>762740631605</v>
          </cell>
          <cell r="AJ31">
            <v>22500</v>
          </cell>
        </row>
        <row r="32">
          <cell r="D32" t="str">
            <v>Assets Shifting</v>
          </cell>
          <cell r="E32" t="str">
            <v>SPCNH773</v>
          </cell>
          <cell r="F32">
            <v>45751</v>
          </cell>
          <cell r="G32" t="str">
            <v>SSS/2025-26/009</v>
          </cell>
          <cell r="H32" t="str">
            <v>Str8 &amp; Secure Services</v>
          </cell>
          <cell r="I32" t="str">
            <v>AQIPG2144B</v>
          </cell>
          <cell r="J32" t="str">
            <v>07AQIPG2144B1ZF</v>
          </cell>
          <cell r="K32" t="str">
            <v>Amenity Block, Candor Gurgaon One Realty Projects Pvt. Ltd., IT/ITES SEZ, Candor TechSpace, Tikri, Sector 48, Gurgaon - 122018, Haryana</v>
          </cell>
          <cell r="L32" t="str">
            <v>Haryana</v>
          </cell>
          <cell r="M32" t="str">
            <v>Plot no 123, Sector 56 Phase IV, Industrial estate, kundli sonipat, sonipat, Haryana, 131028</v>
          </cell>
          <cell r="N32" t="str">
            <v>Haryana</v>
          </cell>
          <cell r="O32" t="str">
            <v>Assets Shifting</v>
          </cell>
          <cell r="P32">
            <v>15500</v>
          </cell>
          <cell r="Q32">
            <v>0</v>
          </cell>
          <cell r="R32">
            <v>0</v>
          </cell>
          <cell r="S32">
            <v>0</v>
          </cell>
          <cell r="T32">
            <v>2790</v>
          </cell>
          <cell r="U32">
            <v>0</v>
          </cell>
          <cell r="V32">
            <v>18290</v>
          </cell>
          <cell r="W32">
            <v>155</v>
          </cell>
          <cell r="X32">
            <v>0.01</v>
          </cell>
          <cell r="Y32">
            <v>18135</v>
          </cell>
          <cell r="Z32">
            <v>18135</v>
          </cell>
          <cell r="AA32">
            <v>0</v>
          </cell>
          <cell r="AC32">
            <v>0</v>
          </cell>
          <cell r="AD32">
            <v>18135</v>
          </cell>
          <cell r="AE32">
            <v>45819</v>
          </cell>
          <cell r="AF32" t="str">
            <v>493462631106000006</v>
          </cell>
          <cell r="AJ32">
            <v>15500</v>
          </cell>
        </row>
        <row r="33">
          <cell r="D33" t="str">
            <v>Assets Shifting</v>
          </cell>
          <cell r="E33" t="str">
            <v>MPZ09566</v>
          </cell>
          <cell r="F33">
            <v>45751</v>
          </cell>
          <cell r="G33" t="str">
            <v>SSS/2025-26/013</v>
          </cell>
          <cell r="H33" t="str">
            <v>Str8 &amp; Secure Services</v>
          </cell>
          <cell r="I33" t="str">
            <v>AQIPG2144B</v>
          </cell>
          <cell r="J33" t="str">
            <v>07AQIPG2144B1ZF</v>
          </cell>
          <cell r="K33" t="str">
            <v>Shop No 2OPP. SUZUKI MOTOR CYCLE SHOWROOM NH8 MANESAR GURGRAM</v>
          </cell>
          <cell r="L33" t="str">
            <v>Haryana</v>
          </cell>
          <cell r="M33" t="str">
            <v>Plot no 123, Sector 56 Phase IV, Industrial estate, kundli sonipat, sonipat, Haryana, 131028</v>
          </cell>
          <cell r="N33" t="str">
            <v>Haryana</v>
          </cell>
          <cell r="O33" t="str">
            <v>Assets Shifting</v>
          </cell>
          <cell r="P33">
            <v>6000</v>
          </cell>
          <cell r="Q33">
            <v>0</v>
          </cell>
          <cell r="R33">
            <v>0</v>
          </cell>
          <cell r="S33">
            <v>0</v>
          </cell>
          <cell r="T33">
            <v>1080</v>
          </cell>
          <cell r="U33">
            <v>0</v>
          </cell>
          <cell r="V33">
            <v>7080</v>
          </cell>
          <cell r="W33">
            <v>60</v>
          </cell>
          <cell r="X33">
            <v>0.01</v>
          </cell>
          <cell r="Y33">
            <v>7020</v>
          </cell>
          <cell r="Z33">
            <v>1293</v>
          </cell>
          <cell r="AA33">
            <v>5727</v>
          </cell>
          <cell r="AC33">
            <v>0</v>
          </cell>
          <cell r="AD33">
            <v>1293</v>
          </cell>
          <cell r="AE33">
            <v>45793</v>
          </cell>
          <cell r="AF33">
            <v>762740631605</v>
          </cell>
          <cell r="AG33">
            <v>5727</v>
          </cell>
          <cell r="AH33">
            <v>45819</v>
          </cell>
          <cell r="AI33" t="str">
            <v>493462631106000006</v>
          </cell>
          <cell r="AJ33">
            <v>6000</v>
          </cell>
        </row>
        <row r="34">
          <cell r="D34" t="str">
            <v>Assets Shifting</v>
          </cell>
          <cell r="E34" t="str">
            <v>MPZ10154</v>
          </cell>
          <cell r="F34">
            <v>45751</v>
          </cell>
          <cell r="G34" t="str">
            <v>SSS/2025-26/008</v>
          </cell>
          <cell r="H34" t="str">
            <v>Str8 &amp; Secure Services</v>
          </cell>
          <cell r="I34" t="str">
            <v>AQIPG2144B</v>
          </cell>
          <cell r="J34" t="str">
            <v>07AQIPG2144B1ZF</v>
          </cell>
          <cell r="K34" t="str">
            <v>plot no 70 HARIDHAM SOC BAMROLI ROAD UDHNA SURAT gujrat 395017</v>
          </cell>
          <cell r="L34" t="str">
            <v>Gujarat</v>
          </cell>
          <cell r="M34" t="str">
            <v>IND/G 260 Govind Nagar N/R Kabrastan , Udhna yard</v>
          </cell>
          <cell r="N34" t="str">
            <v>Gujarat</v>
          </cell>
          <cell r="O34" t="str">
            <v>Assets Shifting</v>
          </cell>
          <cell r="P34">
            <v>2000</v>
          </cell>
          <cell r="Q34">
            <v>0</v>
          </cell>
          <cell r="R34">
            <v>0</v>
          </cell>
          <cell r="S34">
            <v>0</v>
          </cell>
          <cell r="T34">
            <v>360</v>
          </cell>
          <cell r="U34">
            <v>0</v>
          </cell>
          <cell r="V34">
            <v>2360</v>
          </cell>
          <cell r="W34">
            <v>20</v>
          </cell>
          <cell r="X34">
            <v>0.01</v>
          </cell>
          <cell r="Y34">
            <v>2340</v>
          </cell>
          <cell r="Z34">
            <v>2340</v>
          </cell>
          <cell r="AC34">
            <v>0</v>
          </cell>
          <cell r="AD34">
            <v>2340</v>
          </cell>
          <cell r="AE34">
            <v>45793</v>
          </cell>
          <cell r="AF34">
            <v>762740631605</v>
          </cell>
          <cell r="AJ34">
            <v>2000</v>
          </cell>
        </row>
        <row r="35">
          <cell r="D35" t="str">
            <v>Assets Shifting</v>
          </cell>
          <cell r="E35" t="str">
            <v>MPZ09566</v>
          </cell>
          <cell r="F35">
            <v>45751</v>
          </cell>
          <cell r="G35" t="str">
            <v>SSS/2025-26/009</v>
          </cell>
          <cell r="H35" t="str">
            <v>Str8 &amp; Secure Services</v>
          </cell>
          <cell r="I35" t="str">
            <v>AQIPG2144B</v>
          </cell>
          <cell r="J35" t="str">
            <v>07AQIPG2144B1ZF</v>
          </cell>
          <cell r="K35" t="str">
            <v>Shop No 2OPP. SUZUKI MOTOR CYCLE SHOWROOM NH8 MANESAR GURGRAM</v>
          </cell>
          <cell r="L35" t="str">
            <v>Haryana</v>
          </cell>
          <cell r="M35" t="str">
            <v>Plot no 123, Sector 56 Phase IV, Industrial estate, kundli sonipat, sonipat, Haryana, 131028</v>
          </cell>
          <cell r="N35" t="str">
            <v>Haryana</v>
          </cell>
          <cell r="O35" t="str">
            <v>Assets Shifting</v>
          </cell>
          <cell r="P35">
            <v>15500</v>
          </cell>
          <cell r="Q35">
            <v>0</v>
          </cell>
          <cell r="R35">
            <v>0</v>
          </cell>
          <cell r="S35">
            <v>0</v>
          </cell>
          <cell r="T35">
            <v>2790</v>
          </cell>
          <cell r="U35">
            <v>0</v>
          </cell>
          <cell r="V35">
            <v>18290</v>
          </cell>
          <cell r="W35">
            <v>155</v>
          </cell>
          <cell r="X35">
            <v>0.01</v>
          </cell>
          <cell r="Y35">
            <v>18135</v>
          </cell>
          <cell r="Z35">
            <v>18135</v>
          </cell>
          <cell r="AA35">
            <v>0</v>
          </cell>
          <cell r="AB35">
            <v>0</v>
          </cell>
          <cell r="AC35">
            <v>0</v>
          </cell>
          <cell r="AD35">
            <v>18135</v>
          </cell>
          <cell r="AE35">
            <v>45819</v>
          </cell>
          <cell r="AF35" t="str">
            <v>493462631106000006</v>
          </cell>
          <cell r="AJ35">
            <v>15500</v>
          </cell>
        </row>
        <row r="36">
          <cell r="D36" t="str">
            <v>Assets Shifting</v>
          </cell>
          <cell r="E36" t="str">
            <v>S1ANPL03</v>
          </cell>
          <cell r="F36">
            <v>45751</v>
          </cell>
          <cell r="G36" t="str">
            <v>SSS/2025-26/009</v>
          </cell>
          <cell r="H36" t="str">
            <v>Str8 &amp; Secure Services</v>
          </cell>
          <cell r="I36" t="str">
            <v>AQIPG2144B</v>
          </cell>
          <cell r="J36" t="str">
            <v>07AQIPG2144B1ZF</v>
          </cell>
          <cell r="K36" t="str">
            <v>Hdfc Bank Ltd. Main Bhupindra Road Leela Bhawan , Patiala Punjab-147001</v>
          </cell>
          <cell r="L36" t="str">
            <v>Punjab</v>
          </cell>
          <cell r="M36" t="str">
            <v>Hdfc Bank Atm, Near Bus Stand, Malout Road, Mukatsar-152026</v>
          </cell>
          <cell r="N36" t="str">
            <v>Punjab</v>
          </cell>
          <cell r="O36" t="str">
            <v>Assets Shifting</v>
          </cell>
          <cell r="P36">
            <v>12000</v>
          </cell>
          <cell r="Q36">
            <v>0</v>
          </cell>
          <cell r="R36">
            <v>0</v>
          </cell>
          <cell r="S36">
            <v>0</v>
          </cell>
          <cell r="T36">
            <v>2160</v>
          </cell>
          <cell r="U36">
            <v>0</v>
          </cell>
          <cell r="V36">
            <v>14160</v>
          </cell>
          <cell r="W36">
            <v>120</v>
          </cell>
          <cell r="X36">
            <v>0.01</v>
          </cell>
          <cell r="Y36">
            <v>14040</v>
          </cell>
          <cell r="Z36">
            <v>14040</v>
          </cell>
          <cell r="AC36">
            <v>0</v>
          </cell>
          <cell r="AD36">
            <v>14040</v>
          </cell>
          <cell r="AE36">
            <v>45819</v>
          </cell>
          <cell r="AF36" t="str">
            <v>493462631106000006</v>
          </cell>
          <cell r="AJ36">
            <v>12000</v>
          </cell>
        </row>
        <row r="37">
          <cell r="D37" t="str">
            <v>Assets Shifting</v>
          </cell>
          <cell r="E37" t="str">
            <v>MCRM3060</v>
          </cell>
          <cell r="F37">
            <v>45751</v>
          </cell>
          <cell r="G37" t="str">
            <v>SSS/2025-26/008</v>
          </cell>
          <cell r="H37" t="str">
            <v>Str8 &amp; Secure Services</v>
          </cell>
          <cell r="I37" t="str">
            <v>AQIPG2144B</v>
          </cell>
          <cell r="J37" t="str">
            <v>07AQIPG2144B1ZF</v>
          </cell>
          <cell r="K37" t="str">
            <v>Vaishno Agency,46 Decent Colony Behind B.D Flour Mill ambala, Haryana</v>
          </cell>
          <cell r="L37" t="str">
            <v>Haryana</v>
          </cell>
          <cell r="M37" t="str">
            <v>Khatoo Kalan, Nagaur, Rajasthan,341301</v>
          </cell>
          <cell r="N37" t="str">
            <v>Rajasthan</v>
          </cell>
          <cell r="O37" t="str">
            <v>Assets Shifting</v>
          </cell>
          <cell r="P37">
            <v>2500</v>
          </cell>
          <cell r="Q37">
            <v>0</v>
          </cell>
          <cell r="R37">
            <v>0</v>
          </cell>
          <cell r="S37">
            <v>0</v>
          </cell>
          <cell r="T37">
            <v>450</v>
          </cell>
          <cell r="U37">
            <v>0</v>
          </cell>
          <cell r="V37">
            <v>2950</v>
          </cell>
          <cell r="W37">
            <v>25</v>
          </cell>
          <cell r="X37">
            <v>0.01</v>
          </cell>
          <cell r="Y37">
            <v>2925</v>
          </cell>
          <cell r="Z37">
            <v>2925</v>
          </cell>
          <cell r="AC37">
            <v>0</v>
          </cell>
          <cell r="AD37">
            <v>2925</v>
          </cell>
          <cell r="AE37">
            <v>45819</v>
          </cell>
          <cell r="AF37" t="str">
            <v>493462631106000006</v>
          </cell>
          <cell r="AJ37">
            <v>2500</v>
          </cell>
        </row>
        <row r="38">
          <cell r="D38" t="str">
            <v>Assets Shifting</v>
          </cell>
          <cell r="E38" t="str">
            <v>MCRM3060</v>
          </cell>
          <cell r="F38">
            <v>45751</v>
          </cell>
          <cell r="G38" t="str">
            <v>SSS/2025-26/005</v>
          </cell>
          <cell r="H38" t="str">
            <v>Str8 &amp; Secure Services</v>
          </cell>
          <cell r="I38" t="str">
            <v>AQIPG2144B</v>
          </cell>
          <cell r="J38" t="str">
            <v>07AQIPG2144B1ZF</v>
          </cell>
          <cell r="K38" t="str">
            <v>Vaishno Agency,46 Decent Colony Behind B.D Flour Mill ambala, Haryana</v>
          </cell>
          <cell r="L38" t="str">
            <v>Haryana</v>
          </cell>
          <cell r="M38" t="str">
            <v>Plot no 123, Sector 56 Phase IV, Industrial estate, kundli sonipat, sonipat, Haryana, 131028</v>
          </cell>
          <cell r="N38" t="str">
            <v>Haryana</v>
          </cell>
          <cell r="O38" t="str">
            <v>Assets Shifting</v>
          </cell>
          <cell r="P38">
            <v>7000</v>
          </cell>
          <cell r="Q38">
            <v>0</v>
          </cell>
          <cell r="R38">
            <v>0</v>
          </cell>
          <cell r="S38">
            <v>0</v>
          </cell>
          <cell r="T38">
            <v>1260</v>
          </cell>
          <cell r="U38">
            <v>0</v>
          </cell>
          <cell r="V38">
            <v>8260</v>
          </cell>
          <cell r="W38">
            <v>70</v>
          </cell>
          <cell r="X38">
            <v>0.01</v>
          </cell>
          <cell r="Y38">
            <v>8190</v>
          </cell>
          <cell r="Z38">
            <v>8190</v>
          </cell>
          <cell r="AC38">
            <v>0</v>
          </cell>
          <cell r="AD38">
            <v>8190</v>
          </cell>
          <cell r="AE38">
            <v>45819</v>
          </cell>
          <cell r="AF38" t="str">
            <v>493462631106000006</v>
          </cell>
          <cell r="AJ38">
            <v>7000</v>
          </cell>
        </row>
        <row r="39">
          <cell r="D39" t="str">
            <v>Assets Shifting</v>
          </cell>
          <cell r="E39" t="str">
            <v>MCRM3706</v>
          </cell>
          <cell r="F39">
            <v>45751</v>
          </cell>
          <cell r="G39" t="str">
            <v>SSS/2025-26/008</v>
          </cell>
          <cell r="H39" t="str">
            <v>Str8 &amp; Secure Services</v>
          </cell>
          <cell r="I39" t="str">
            <v>AQIPG2144B</v>
          </cell>
          <cell r="J39" t="str">
            <v>07AQIPG2144B1ZF</v>
          </cell>
          <cell r="K39" t="str">
            <v>Siddhivinayak Complex, Madhvas road, Madhvas Near halol road pin code 389330</v>
          </cell>
          <cell r="L39" t="str">
            <v>Gujarat</v>
          </cell>
          <cell r="M39" t="str">
            <v>Kishore Bagai Transport, l-2 Jai Mata Di Compound , 2nd left next to Hetvi Textile, Kalher Bhiwandi, Maharashtra - 421302</v>
          </cell>
          <cell r="N39" t="str">
            <v>Maharashtra</v>
          </cell>
          <cell r="O39" t="str">
            <v>Assets Shifting</v>
          </cell>
          <cell r="P39">
            <v>3000</v>
          </cell>
          <cell r="Q39">
            <v>0</v>
          </cell>
          <cell r="R39">
            <v>0</v>
          </cell>
          <cell r="S39">
            <v>0</v>
          </cell>
          <cell r="T39">
            <v>540</v>
          </cell>
          <cell r="U39">
            <v>0</v>
          </cell>
          <cell r="V39">
            <v>3540</v>
          </cell>
          <cell r="W39">
            <v>30</v>
          </cell>
          <cell r="X39">
            <v>0.01</v>
          </cell>
          <cell r="Y39">
            <v>3510</v>
          </cell>
          <cell r="Z39">
            <v>3510</v>
          </cell>
          <cell r="AC39">
            <v>0</v>
          </cell>
          <cell r="AD39">
            <v>3510</v>
          </cell>
          <cell r="AE39">
            <v>45819</v>
          </cell>
          <cell r="AF39" t="str">
            <v>493462631106000006</v>
          </cell>
          <cell r="AJ39">
            <v>3000</v>
          </cell>
        </row>
        <row r="40">
          <cell r="D40" t="str">
            <v>Assets Shifting</v>
          </cell>
          <cell r="E40" t="str">
            <v>HRHAB001</v>
          </cell>
          <cell r="F40">
            <v>45751</v>
          </cell>
          <cell r="G40" t="str">
            <v>SSS/2025-26/009</v>
          </cell>
          <cell r="H40" t="str">
            <v>Str8 &amp; Secure Services</v>
          </cell>
          <cell r="I40" t="str">
            <v>AQIPG2144B</v>
          </cell>
          <cell r="J40" t="str">
            <v>07AQIPG2144B1ZF</v>
          </cell>
          <cell r="K40" t="str">
            <v>GF/BF, SCO-412, Sector-8, Panchkula, Haryana- 134109</v>
          </cell>
          <cell r="L40" t="str">
            <v>Haryana</v>
          </cell>
          <cell r="M40" t="str">
            <v>Ground floor and Basement, SCF 133, Sec-17 Panchkula, Haryana-134113</v>
          </cell>
          <cell r="N40" t="str">
            <v>Haryana</v>
          </cell>
          <cell r="O40" t="str">
            <v>Assets Shifting</v>
          </cell>
          <cell r="P40">
            <v>6500</v>
          </cell>
          <cell r="Q40">
            <v>0</v>
          </cell>
          <cell r="R40">
            <v>0</v>
          </cell>
          <cell r="S40">
            <v>0</v>
          </cell>
          <cell r="T40">
            <v>1170</v>
          </cell>
          <cell r="U40">
            <v>0</v>
          </cell>
          <cell r="V40">
            <v>7670</v>
          </cell>
          <cell r="W40">
            <v>65</v>
          </cell>
          <cell r="X40">
            <v>0.01</v>
          </cell>
          <cell r="Y40">
            <v>7605</v>
          </cell>
          <cell r="Z40">
            <v>7605</v>
          </cell>
          <cell r="AC40">
            <v>0</v>
          </cell>
          <cell r="AD40">
            <v>7605</v>
          </cell>
          <cell r="AE40">
            <v>45819</v>
          </cell>
          <cell r="AF40" t="str">
            <v>493462631106000006</v>
          </cell>
          <cell r="AJ40">
            <v>6500</v>
          </cell>
        </row>
        <row r="41">
          <cell r="D41" t="str">
            <v>Assets Shifting</v>
          </cell>
          <cell r="E41" t="str">
            <v>MPZ12745</v>
          </cell>
          <cell r="F41">
            <v>45751</v>
          </cell>
          <cell r="G41" t="str">
            <v>SSS/2025-26/005</v>
          </cell>
          <cell r="H41" t="str">
            <v>Str8 &amp; Secure Services</v>
          </cell>
          <cell r="I41" t="str">
            <v>AQIPG2144B</v>
          </cell>
          <cell r="J41" t="str">
            <v>07AQIPG2144B1ZF</v>
          </cell>
          <cell r="K41" t="str">
            <v>Shop No.3, Shop of Hiteshbhai Baria, Randhikrupa, Dahod.</v>
          </cell>
          <cell r="L41" t="str">
            <v>Gujarat</v>
          </cell>
          <cell r="M41" t="str">
            <v>GamTal Bhestan Surat</v>
          </cell>
          <cell r="N41" t="str">
            <v>Gujarat</v>
          </cell>
          <cell r="O41" t="str">
            <v>Assets Shifting</v>
          </cell>
          <cell r="P41">
            <v>12000</v>
          </cell>
          <cell r="Q41">
            <v>0</v>
          </cell>
          <cell r="R41">
            <v>0</v>
          </cell>
          <cell r="S41">
            <v>0</v>
          </cell>
          <cell r="T41">
            <v>2160</v>
          </cell>
          <cell r="U41">
            <v>0</v>
          </cell>
          <cell r="V41">
            <v>14160</v>
          </cell>
          <cell r="W41">
            <v>120</v>
          </cell>
          <cell r="X41">
            <v>0.01</v>
          </cell>
          <cell r="Y41">
            <v>14040</v>
          </cell>
          <cell r="Z41">
            <v>14040</v>
          </cell>
          <cell r="AC41">
            <v>0</v>
          </cell>
          <cell r="AD41">
            <v>14040</v>
          </cell>
          <cell r="AE41">
            <v>45819</v>
          </cell>
          <cell r="AF41" t="str">
            <v>493462631106000006</v>
          </cell>
          <cell r="AJ41">
            <v>12000</v>
          </cell>
        </row>
        <row r="42">
          <cell r="D42" t="str">
            <v>Assets Shifting</v>
          </cell>
          <cell r="E42" t="str">
            <v>MPZ12745</v>
          </cell>
          <cell r="F42">
            <v>45751</v>
          </cell>
          <cell r="G42" t="str">
            <v>SSS/2025-26/006</v>
          </cell>
          <cell r="H42" t="str">
            <v>Str8 &amp; Secure Services</v>
          </cell>
          <cell r="I42" t="str">
            <v>AQIPG2144B</v>
          </cell>
          <cell r="J42" t="str">
            <v>07AQIPG2144B1ZF</v>
          </cell>
          <cell r="K42" t="str">
            <v>Shop No.3, Shop of Hiteshbhai Baria, Randhikrupa, Dahod.</v>
          </cell>
          <cell r="L42" t="str">
            <v>Gujarat</v>
          </cell>
          <cell r="M42" t="str">
            <v>Kishore Bagai Transport, l-2 Jai Mata Di Compound , 2nd left next to Hetvi Textile, Kalher Bhiwandi, Maharashtra - 421302</v>
          </cell>
          <cell r="N42" t="str">
            <v>Maharashtra</v>
          </cell>
          <cell r="O42" t="str">
            <v>Assets Shifting</v>
          </cell>
          <cell r="P42">
            <v>7000</v>
          </cell>
          <cell r="Q42">
            <v>0</v>
          </cell>
          <cell r="R42">
            <v>0</v>
          </cell>
          <cell r="S42">
            <v>0</v>
          </cell>
          <cell r="T42">
            <v>1260</v>
          </cell>
          <cell r="U42">
            <v>0</v>
          </cell>
          <cell r="V42">
            <v>8260</v>
          </cell>
          <cell r="W42">
            <v>70</v>
          </cell>
          <cell r="X42">
            <v>0.01</v>
          </cell>
          <cell r="Y42">
            <v>8190</v>
          </cell>
          <cell r="Z42">
            <v>8190</v>
          </cell>
          <cell r="AC42">
            <v>0</v>
          </cell>
          <cell r="AD42">
            <v>8190</v>
          </cell>
          <cell r="AE42">
            <v>45819</v>
          </cell>
          <cell r="AF42" t="str">
            <v>493462631106000006</v>
          </cell>
          <cell r="AJ42">
            <v>7000</v>
          </cell>
        </row>
        <row r="43">
          <cell r="D43" t="str">
            <v>Assets Shifting</v>
          </cell>
          <cell r="E43" t="str">
            <v>MCRM5586</v>
          </cell>
          <cell r="F43">
            <v>45751</v>
          </cell>
          <cell r="G43" t="str">
            <v>SSS/2025-26/005</v>
          </cell>
          <cell r="H43" t="str">
            <v>Str8 &amp; Secure Services</v>
          </cell>
          <cell r="I43" t="str">
            <v>AQIPG2144B</v>
          </cell>
          <cell r="J43" t="str">
            <v>07AQIPG2144B1ZF</v>
          </cell>
          <cell r="K43" t="str">
            <v>Shop at Opposite Nai Nangla Road,  and  Near Al Alfa Hospital, Main Raod, Mandikhera To Badkali Road, Mandikhera Haryana 122108</v>
          </cell>
          <cell r="L43" t="str">
            <v>Haryana</v>
          </cell>
          <cell r="M43" t="str">
            <v>WARD NO.3 ,86 PRANPURA ROAD,SHIV MANDIR,BAWAL,NANGAL,UGRA REWARI , HARYANA 123501</v>
          </cell>
          <cell r="N43" t="str">
            <v>Haryana</v>
          </cell>
          <cell r="O43" t="str">
            <v>Assets Shifting</v>
          </cell>
          <cell r="P43">
            <v>8000</v>
          </cell>
          <cell r="Q43">
            <v>0</v>
          </cell>
          <cell r="R43">
            <v>0</v>
          </cell>
          <cell r="S43">
            <v>0</v>
          </cell>
          <cell r="T43">
            <v>1440</v>
          </cell>
          <cell r="U43">
            <v>0</v>
          </cell>
          <cell r="V43">
            <v>9440</v>
          </cell>
          <cell r="W43">
            <v>80</v>
          </cell>
          <cell r="X43">
            <v>0.01</v>
          </cell>
          <cell r="Y43">
            <v>9360</v>
          </cell>
          <cell r="Z43">
            <v>9360</v>
          </cell>
          <cell r="AC43">
            <v>0</v>
          </cell>
          <cell r="AD43">
            <v>9360</v>
          </cell>
          <cell r="AE43">
            <v>45819</v>
          </cell>
          <cell r="AF43" t="str">
            <v>493462631106000006</v>
          </cell>
          <cell r="AJ43">
            <v>8000</v>
          </cell>
        </row>
        <row r="44">
          <cell r="D44" t="str">
            <v>Assets Shifting</v>
          </cell>
          <cell r="E44" t="str">
            <v>MCRM5586</v>
          </cell>
          <cell r="F44">
            <v>45751</v>
          </cell>
          <cell r="G44" t="str">
            <v>SSS/2025-26/005</v>
          </cell>
          <cell r="H44" t="str">
            <v>Str8 &amp; Secure Services</v>
          </cell>
          <cell r="I44" t="str">
            <v>AQIPG2144B</v>
          </cell>
          <cell r="J44" t="str">
            <v>07AQIPG2144B1ZF</v>
          </cell>
          <cell r="K44" t="str">
            <v>Shop at Opposite Nai Nangla Road,  and  Near Al Alfa Hospital, Main Raod, Mandikhera To Badkali Road, Mandikhera Haryana 122108</v>
          </cell>
          <cell r="L44" t="str">
            <v>Haryana</v>
          </cell>
          <cell r="M44" t="str">
            <v>Plot no 123, Sector 56 Phase IV, Industrial estate, kundli sonipat, sonipat, Haryana, 131028</v>
          </cell>
          <cell r="N44" t="str">
            <v>Haryana</v>
          </cell>
          <cell r="O44" t="str">
            <v>Assets Shifting</v>
          </cell>
          <cell r="P44">
            <v>7000</v>
          </cell>
          <cell r="Q44">
            <v>0</v>
          </cell>
          <cell r="R44">
            <v>0</v>
          </cell>
          <cell r="S44">
            <v>0</v>
          </cell>
          <cell r="T44">
            <v>1260</v>
          </cell>
          <cell r="U44">
            <v>0</v>
          </cell>
          <cell r="V44">
            <v>8260</v>
          </cell>
          <cell r="W44">
            <v>70</v>
          </cell>
          <cell r="X44">
            <v>0.01</v>
          </cell>
          <cell r="Y44">
            <v>8190</v>
          </cell>
          <cell r="Z44">
            <v>8190</v>
          </cell>
          <cell r="AC44">
            <v>0</v>
          </cell>
          <cell r="AD44">
            <v>8190</v>
          </cell>
          <cell r="AE44">
            <v>45819</v>
          </cell>
          <cell r="AF44" t="str">
            <v>493462631106000006</v>
          </cell>
          <cell r="AJ44">
            <v>7000</v>
          </cell>
        </row>
        <row r="45">
          <cell r="D45" t="str">
            <v>Assets Shifting</v>
          </cell>
          <cell r="E45" t="str">
            <v>S1ANYX42</v>
          </cell>
          <cell r="F45">
            <v>45751</v>
          </cell>
          <cell r="G45" t="str">
            <v>SSS/2025-26/009</v>
          </cell>
          <cell r="H45" t="str">
            <v>Str8 &amp; Secure Services</v>
          </cell>
          <cell r="I45" t="str">
            <v>AQIPG2144B</v>
          </cell>
          <cell r="J45" t="str">
            <v>07AQIPG2144B1ZF</v>
          </cell>
          <cell r="K45" t="str">
            <v>HDFC Bank Ltd, Upper Grd.Floor, Near Bhaeat Petrol Pump, Campierganj dist.gorakhpur,Uttar Pradesh-273158</v>
          </cell>
          <cell r="L45" t="str">
            <v>Uttar Pradesh</v>
          </cell>
          <cell r="M45" t="str">
            <v>Ground Floor, Khasara No.521/1, 527, 521/2 &amp; 521/1-2, Mehdawal, Pargana- Magahar Purab, Tehsil-Mehdawal, Dist-Sant Kabir Nagar, Uttar Pradesh - 272271.</v>
          </cell>
          <cell r="N45" t="str">
            <v>Uttar Pradesh</v>
          </cell>
          <cell r="O45" t="str">
            <v>Assets Shifting</v>
          </cell>
          <cell r="P45">
            <v>9500</v>
          </cell>
          <cell r="Q45">
            <v>0</v>
          </cell>
          <cell r="R45">
            <v>0</v>
          </cell>
          <cell r="S45">
            <v>0</v>
          </cell>
          <cell r="T45">
            <v>1710</v>
          </cell>
          <cell r="U45">
            <v>0</v>
          </cell>
          <cell r="V45">
            <v>11210</v>
          </cell>
          <cell r="W45">
            <v>95</v>
          </cell>
          <cell r="X45">
            <v>0.01</v>
          </cell>
          <cell r="Y45">
            <v>11115</v>
          </cell>
          <cell r="Z45">
            <v>2723</v>
          </cell>
          <cell r="AA45">
            <v>8392</v>
          </cell>
          <cell r="AC45">
            <v>0</v>
          </cell>
          <cell r="AD45">
            <v>2723</v>
          </cell>
          <cell r="AE45">
            <v>45819</v>
          </cell>
          <cell r="AF45" t="str">
            <v>493462631106000006</v>
          </cell>
          <cell r="AG45">
            <v>8392</v>
          </cell>
          <cell r="AH45">
            <v>45836</v>
          </cell>
          <cell r="AI45">
            <v>1751048870670</v>
          </cell>
          <cell r="AJ45">
            <v>9500</v>
          </cell>
        </row>
        <row r="46">
          <cell r="D46" t="str">
            <v>Assets Shifting</v>
          </cell>
          <cell r="E46" t="str">
            <v>S1AWUP17</v>
          </cell>
          <cell r="F46">
            <v>45751</v>
          </cell>
          <cell r="G46" t="str">
            <v>SSS/2025-26/009</v>
          </cell>
          <cell r="H46" t="str">
            <v>Str8 &amp; Secure Services</v>
          </cell>
          <cell r="I46" t="str">
            <v>AQIPG2144B</v>
          </cell>
          <cell r="J46" t="str">
            <v>07AQIPG2144B1ZF</v>
          </cell>
          <cell r="K46" t="str">
            <v>Ground Floor, Khasara No.521/1, 527, 521/2 &amp; 521/1-2, Mehdawal, Pargana- Magahar Purab, Tehsil-Mehdawal, Dist-Sant Kabir Nagar, Uttar Pradesh - 272271.</v>
          </cell>
          <cell r="L46" t="str">
            <v>Uttar Pradesh</v>
          </cell>
          <cell r="M46" t="str">
            <v>Ground Floor, Khasara No.521/1, 527, 521/2 &amp; 521/1-2, Mehdawal, Pargana- Magahar Purab, Tehsil-Mehdawal, Dist-Sant Kabir Nagar, Uttar Pradesh - 272271.</v>
          </cell>
          <cell r="N46" t="str">
            <v>Uttar Pradesh</v>
          </cell>
          <cell r="O46" t="str">
            <v>Assets Shifting</v>
          </cell>
          <cell r="P46">
            <v>3000</v>
          </cell>
          <cell r="Q46">
            <v>0</v>
          </cell>
          <cell r="R46">
            <v>0</v>
          </cell>
          <cell r="S46">
            <v>0</v>
          </cell>
          <cell r="T46">
            <v>540</v>
          </cell>
          <cell r="U46">
            <v>0</v>
          </cell>
          <cell r="V46">
            <v>3540</v>
          </cell>
          <cell r="W46">
            <v>30</v>
          </cell>
          <cell r="X46">
            <v>0.01</v>
          </cell>
          <cell r="Y46">
            <v>3510</v>
          </cell>
          <cell r="Z46">
            <v>1170</v>
          </cell>
          <cell r="AA46">
            <v>2340</v>
          </cell>
          <cell r="AC46">
            <v>0</v>
          </cell>
          <cell r="AD46">
            <v>1170</v>
          </cell>
          <cell r="AE46">
            <v>45819</v>
          </cell>
          <cell r="AF46" t="str">
            <v>493462631106000006</v>
          </cell>
          <cell r="AG46">
            <v>2340</v>
          </cell>
          <cell r="AH46">
            <v>45836</v>
          </cell>
          <cell r="AI46">
            <v>1751048870670</v>
          </cell>
          <cell r="AJ46">
            <v>3000</v>
          </cell>
        </row>
        <row r="47">
          <cell r="D47" t="str">
            <v>Assets Shifting</v>
          </cell>
          <cell r="E47" t="str">
            <v>MPZ09822</v>
          </cell>
          <cell r="F47">
            <v>45751</v>
          </cell>
          <cell r="G47" t="str">
            <v>SSS/2025-26/005</v>
          </cell>
          <cell r="H47" t="str">
            <v>Str8 &amp; Secure Services</v>
          </cell>
          <cell r="I47" t="str">
            <v>AQIPG2144B</v>
          </cell>
          <cell r="J47" t="str">
            <v>07AQIPG2144B1ZF</v>
          </cell>
          <cell r="K47" t="str">
            <v>VILL KAKROLA , POST BAHGAROLA , GURGAON PRITAM YADAV DISHA ENTERPRISES Near radha krishna mandir Haryana 122505</v>
          </cell>
          <cell r="L47" t="str">
            <v>Haryana</v>
          </cell>
          <cell r="M47" t="str">
            <v>Indezon c/o Nathu Ram shop-ATI -19 (old no18,19,20) Gali no 31, Bharat vihar RD Raja Puri , New Delhi -110059</v>
          </cell>
          <cell r="N47" t="str">
            <v>Delhi</v>
          </cell>
          <cell r="O47" t="str">
            <v>Assets Shifting</v>
          </cell>
          <cell r="P47">
            <v>8500</v>
          </cell>
          <cell r="Q47">
            <v>0</v>
          </cell>
          <cell r="R47">
            <v>0</v>
          </cell>
          <cell r="S47">
            <v>0</v>
          </cell>
          <cell r="T47">
            <v>1530</v>
          </cell>
          <cell r="U47">
            <v>0</v>
          </cell>
          <cell r="V47">
            <v>10030</v>
          </cell>
          <cell r="W47">
            <v>85</v>
          </cell>
          <cell r="X47">
            <v>0.01</v>
          </cell>
          <cell r="Y47">
            <v>9945</v>
          </cell>
          <cell r="Z47">
            <v>9945</v>
          </cell>
          <cell r="AC47">
            <v>0</v>
          </cell>
          <cell r="AD47">
            <v>9945</v>
          </cell>
          <cell r="AE47">
            <v>45836</v>
          </cell>
          <cell r="AF47">
            <v>1751048870670</v>
          </cell>
          <cell r="AJ47">
            <v>8500</v>
          </cell>
        </row>
        <row r="48">
          <cell r="D48" t="str">
            <v>Assets Shifting</v>
          </cell>
          <cell r="E48" t="str">
            <v>MPZ09822</v>
          </cell>
          <cell r="F48">
            <v>45751</v>
          </cell>
          <cell r="G48" t="str">
            <v>SSS/2025-26/005</v>
          </cell>
          <cell r="H48" t="str">
            <v>Str8 &amp; Secure Services</v>
          </cell>
          <cell r="I48" t="str">
            <v>AQIPG2144B</v>
          </cell>
          <cell r="J48" t="str">
            <v>07AQIPG2144B1ZF</v>
          </cell>
          <cell r="K48" t="str">
            <v>VILL KAKROLA , POST BAHGAROLA , GURGAON PRITAM YADAV DISHA ENTERPRISES Near radha krishna mandir Haryana 122505</v>
          </cell>
          <cell r="L48" t="str">
            <v>Haryana</v>
          </cell>
          <cell r="M48" t="str">
            <v>Plot no 123, Sector 56 Phase IV, Industrial estate, kundli sonipat, sonipat, Haryana, 131028</v>
          </cell>
          <cell r="N48" t="str">
            <v>Haryana</v>
          </cell>
          <cell r="O48" t="str">
            <v>Assets Shifting</v>
          </cell>
          <cell r="P48">
            <v>7000</v>
          </cell>
          <cell r="Q48">
            <v>0</v>
          </cell>
          <cell r="R48">
            <v>0</v>
          </cell>
          <cell r="S48">
            <v>0</v>
          </cell>
          <cell r="T48">
            <v>1260</v>
          </cell>
          <cell r="U48">
            <v>0</v>
          </cell>
          <cell r="V48">
            <v>8260</v>
          </cell>
          <cell r="W48">
            <v>70</v>
          </cell>
          <cell r="X48">
            <v>0.01</v>
          </cell>
          <cell r="Y48">
            <v>8190</v>
          </cell>
          <cell r="Z48">
            <v>8190</v>
          </cell>
          <cell r="AC48">
            <v>0</v>
          </cell>
          <cell r="AD48">
            <v>8190</v>
          </cell>
          <cell r="AE48">
            <v>45819</v>
          </cell>
          <cell r="AF48" t="str">
            <v>493462631106000006</v>
          </cell>
          <cell r="AJ48">
            <v>7000</v>
          </cell>
        </row>
        <row r="49">
          <cell r="D49" t="str">
            <v>Assets Shifting</v>
          </cell>
          <cell r="E49" t="str">
            <v>MCRM3060</v>
          </cell>
          <cell r="F49">
            <v>45751</v>
          </cell>
          <cell r="G49" t="str">
            <v>SSS/2025-26/005</v>
          </cell>
          <cell r="H49" t="str">
            <v>Str8 &amp; Secure Services</v>
          </cell>
          <cell r="I49" t="str">
            <v>AQIPG2144B</v>
          </cell>
          <cell r="J49" t="str">
            <v>07AQIPG2144B1ZF</v>
          </cell>
          <cell r="K49" t="str">
            <v>Vaishno Agency,46 Decent Colony Behind B.D Flour Mill ambala, Haryana</v>
          </cell>
          <cell r="L49" t="str">
            <v>Haryana</v>
          </cell>
          <cell r="M49" t="str">
            <v>Khatoo Kalan, Nagaur, Rajasthan,341301</v>
          </cell>
          <cell r="N49" t="str">
            <v>Rajasthan</v>
          </cell>
          <cell r="O49" t="str">
            <v>Assets Shifting</v>
          </cell>
          <cell r="P49">
            <v>15000</v>
          </cell>
          <cell r="Q49">
            <v>0</v>
          </cell>
          <cell r="R49">
            <v>0</v>
          </cell>
          <cell r="S49">
            <v>0</v>
          </cell>
          <cell r="T49">
            <v>2700</v>
          </cell>
          <cell r="U49">
            <v>0</v>
          </cell>
          <cell r="V49">
            <v>17700</v>
          </cell>
          <cell r="W49">
            <v>150</v>
          </cell>
          <cell r="X49">
            <v>0.01</v>
          </cell>
          <cell r="Y49">
            <v>17550</v>
          </cell>
          <cell r="Z49">
            <v>17550</v>
          </cell>
          <cell r="AC49">
            <v>0</v>
          </cell>
          <cell r="AD49">
            <v>17550</v>
          </cell>
          <cell r="AE49">
            <v>45836</v>
          </cell>
          <cell r="AF49">
            <v>1751048870670</v>
          </cell>
          <cell r="AJ49">
            <v>15000</v>
          </cell>
        </row>
        <row r="50">
          <cell r="D50" t="str">
            <v>Assets Shifting</v>
          </cell>
          <cell r="E50" t="str">
            <v>S1CN3496</v>
          </cell>
          <cell r="F50">
            <v>45751</v>
          </cell>
          <cell r="G50" t="str">
            <v>SSS/2025-26/010</v>
          </cell>
          <cell r="H50" t="str">
            <v>Str8 &amp; Secure Services</v>
          </cell>
          <cell r="I50" t="str">
            <v>AQIPG2144B</v>
          </cell>
          <cell r="J50" t="str">
            <v>07AQIPG2144B1ZF</v>
          </cell>
          <cell r="K50" t="str">
            <v>ICICI Bank Atm , Property At Axis A Building,Safexpress, Sec.71,Village Fazilpura Jharsa,Sohna Road Gurgaon 122001</v>
          </cell>
          <cell r="L50" t="str">
            <v>Haryana</v>
          </cell>
          <cell r="M50" t="str">
            <v>Plot no 123, Sector 56 Phase IV, Industrial estate, kundli sonipat, sonipat, Haryana, 131028</v>
          </cell>
          <cell r="N50" t="str">
            <v>Haryana</v>
          </cell>
          <cell r="O50" t="str">
            <v>Assets Shifting</v>
          </cell>
          <cell r="P50">
            <v>16000</v>
          </cell>
          <cell r="Q50">
            <v>0</v>
          </cell>
          <cell r="R50">
            <v>0</v>
          </cell>
          <cell r="S50">
            <v>0</v>
          </cell>
          <cell r="T50">
            <v>2880</v>
          </cell>
          <cell r="U50">
            <v>0</v>
          </cell>
          <cell r="V50">
            <v>18880</v>
          </cell>
          <cell r="W50">
            <v>160</v>
          </cell>
          <cell r="X50">
            <v>0.01</v>
          </cell>
          <cell r="Y50">
            <v>18720</v>
          </cell>
          <cell r="Z50">
            <v>18720</v>
          </cell>
          <cell r="AC50">
            <v>0</v>
          </cell>
          <cell r="AD50">
            <v>18720</v>
          </cell>
          <cell r="AE50">
            <v>45836</v>
          </cell>
          <cell r="AF50">
            <v>1751048870670</v>
          </cell>
          <cell r="AJ50">
            <v>16000</v>
          </cell>
        </row>
        <row r="51">
          <cell r="D51" t="str">
            <v>Assets Shifting</v>
          </cell>
          <cell r="E51" t="str">
            <v>S1CN5684</v>
          </cell>
          <cell r="F51">
            <v>45751</v>
          </cell>
          <cell r="G51" t="str">
            <v>SSS/2025-26/011</v>
          </cell>
          <cell r="H51" t="str">
            <v>Str8 &amp; Secure Services</v>
          </cell>
          <cell r="I51" t="str">
            <v>AQIPG2144B</v>
          </cell>
          <cell r="J51" t="str">
            <v>07AQIPG2144B1ZF</v>
          </cell>
          <cell r="K51" t="str">
            <v>ICICI Bank Atm , Property At Axis A Building,Safexpress, Sec.71,Village Fazilpura Jharsa,Sohna Road Gurgaon 122001</v>
          </cell>
          <cell r="L51" t="str">
            <v>Haryana</v>
          </cell>
          <cell r="M51" t="str">
            <v>Plot no 123, Sector 56 Phase IV, Industrial estate, kundli sonipat, sonipat, Haryana, 131028</v>
          </cell>
          <cell r="N51" t="str">
            <v>Haryana</v>
          </cell>
          <cell r="O51" t="str">
            <v>Assets Shifting</v>
          </cell>
          <cell r="P51">
            <v>12000</v>
          </cell>
          <cell r="Q51">
            <v>0</v>
          </cell>
          <cell r="R51">
            <v>0</v>
          </cell>
          <cell r="S51">
            <v>0</v>
          </cell>
          <cell r="T51">
            <v>2160</v>
          </cell>
          <cell r="U51">
            <v>0</v>
          </cell>
          <cell r="V51">
            <v>14160</v>
          </cell>
          <cell r="W51">
            <v>120</v>
          </cell>
          <cell r="X51">
            <v>0.01</v>
          </cell>
          <cell r="Y51">
            <v>14040</v>
          </cell>
          <cell r="Z51">
            <v>14040</v>
          </cell>
          <cell r="AC51">
            <v>0</v>
          </cell>
          <cell r="AD51">
            <v>14040</v>
          </cell>
          <cell r="AE51">
            <v>45836</v>
          </cell>
          <cell r="AF51">
            <v>1751048870670</v>
          </cell>
          <cell r="AJ51">
            <v>12000</v>
          </cell>
        </row>
        <row r="52">
          <cell r="D52" t="str">
            <v>Assets Shifting</v>
          </cell>
          <cell r="E52" t="str">
            <v>MPZ11403</v>
          </cell>
          <cell r="F52">
            <v>45751</v>
          </cell>
          <cell r="G52" t="str">
            <v>SSS/2025-26/009</v>
          </cell>
          <cell r="H52" t="str">
            <v>Str8 &amp; Secure Services</v>
          </cell>
          <cell r="I52" t="str">
            <v>AQIPG2144B</v>
          </cell>
          <cell r="J52" t="str">
            <v>07AQIPG2144B1ZF</v>
          </cell>
          <cell r="K52" t="str">
            <v>Bewan, Nuh mewat Haryana 122104</v>
          </cell>
          <cell r="L52" t="str">
            <v>Haryana</v>
          </cell>
          <cell r="M52" t="str">
            <v>Plot no 123, Sector 56 Phase IV, Industrial estate, kundli sonipat, sonipat, Haryana, 131028</v>
          </cell>
          <cell r="N52" t="str">
            <v>Haryana</v>
          </cell>
          <cell r="O52" t="str">
            <v>Assets Shifting</v>
          </cell>
          <cell r="P52">
            <v>16000</v>
          </cell>
          <cell r="Q52">
            <v>0</v>
          </cell>
          <cell r="R52">
            <v>0</v>
          </cell>
          <cell r="S52">
            <v>0</v>
          </cell>
          <cell r="T52">
            <v>2880</v>
          </cell>
          <cell r="U52">
            <v>0</v>
          </cell>
          <cell r="V52">
            <v>18880</v>
          </cell>
          <cell r="W52">
            <v>160</v>
          </cell>
          <cell r="X52">
            <v>0.01</v>
          </cell>
          <cell r="Y52">
            <v>18720</v>
          </cell>
          <cell r="Z52">
            <v>18720</v>
          </cell>
          <cell r="AC52">
            <v>0</v>
          </cell>
          <cell r="AD52">
            <v>18720</v>
          </cell>
          <cell r="AE52">
            <v>45836</v>
          </cell>
          <cell r="AF52">
            <v>1751048870670</v>
          </cell>
          <cell r="AJ52">
            <v>16000</v>
          </cell>
        </row>
        <row r="53">
          <cell r="D53" t="str">
            <v>Assets Shifting</v>
          </cell>
          <cell r="E53" t="str">
            <v>MPZ12745</v>
          </cell>
          <cell r="F53">
            <v>45751</v>
          </cell>
          <cell r="G53" t="str">
            <v>SSS/2025-26/008</v>
          </cell>
          <cell r="H53" t="str">
            <v>Str8 &amp; Secure Services</v>
          </cell>
          <cell r="I53" t="str">
            <v>AQIPG2144B</v>
          </cell>
          <cell r="J53" t="str">
            <v>07AQIPG2144B1ZF</v>
          </cell>
          <cell r="K53" t="str">
            <v>Ahmedabad warehouse</v>
          </cell>
          <cell r="L53" t="str">
            <v>Gujarat</v>
          </cell>
          <cell r="M53" t="str">
            <v>IND/G 260 Govind Nagar N/R Kabrastan , Udhna yard</v>
          </cell>
          <cell r="N53" t="str">
            <v>Gujarat</v>
          </cell>
          <cell r="O53" t="str">
            <v>Assets Shifting</v>
          </cell>
          <cell r="P53">
            <v>2000</v>
          </cell>
          <cell r="Q53">
            <v>0</v>
          </cell>
          <cell r="R53">
            <v>0</v>
          </cell>
          <cell r="S53">
            <v>0</v>
          </cell>
          <cell r="T53">
            <v>360</v>
          </cell>
          <cell r="U53">
            <v>0</v>
          </cell>
          <cell r="V53">
            <v>2360</v>
          </cell>
          <cell r="W53">
            <v>20</v>
          </cell>
          <cell r="X53">
            <v>0.01</v>
          </cell>
          <cell r="Y53">
            <v>2340</v>
          </cell>
          <cell r="Z53">
            <v>2340</v>
          </cell>
          <cell r="AC53">
            <v>0</v>
          </cell>
          <cell r="AD53">
            <v>2340</v>
          </cell>
          <cell r="AE53">
            <v>45836</v>
          </cell>
          <cell r="AF53">
            <v>1751048870670</v>
          </cell>
          <cell r="AJ53">
            <v>2000</v>
          </cell>
        </row>
        <row r="54">
          <cell r="D54" t="str">
            <v>Assets Shifting</v>
          </cell>
          <cell r="E54" t="str">
            <v>MPZ07877</v>
          </cell>
          <cell r="F54">
            <v>45751</v>
          </cell>
          <cell r="G54" t="str">
            <v>SSS/2025-26/009</v>
          </cell>
          <cell r="H54" t="str">
            <v>Str8 &amp; Secure Services</v>
          </cell>
          <cell r="I54" t="str">
            <v>AQIPG2144B</v>
          </cell>
          <cell r="J54" t="str">
            <v>07AQIPG2144B1ZF</v>
          </cell>
          <cell r="K54" t="str">
            <v>Shop No 1,Village kakrola p.o bhangrola, Manesar, Gurgaon, Harayana</v>
          </cell>
          <cell r="L54" t="str">
            <v>Haryana</v>
          </cell>
          <cell r="M54" t="str">
            <v>Plot no 123, Sector 56 Phase IV, Industrial estate, kundli sonipat, sonipat, Haryana, 131028</v>
          </cell>
          <cell r="N54" t="str">
            <v>Haryana</v>
          </cell>
          <cell r="O54" t="str">
            <v>Assets Shifting</v>
          </cell>
          <cell r="P54">
            <v>16000</v>
          </cell>
          <cell r="Q54">
            <v>0</v>
          </cell>
          <cell r="R54">
            <v>0</v>
          </cell>
          <cell r="S54">
            <v>0</v>
          </cell>
          <cell r="T54">
            <v>2880</v>
          </cell>
          <cell r="U54">
            <v>0</v>
          </cell>
          <cell r="V54">
            <v>18880</v>
          </cell>
          <cell r="W54">
            <v>160</v>
          </cell>
          <cell r="X54">
            <v>0.01</v>
          </cell>
          <cell r="Y54">
            <v>18720</v>
          </cell>
          <cell r="Z54">
            <v>18720</v>
          </cell>
          <cell r="AC54">
            <v>0</v>
          </cell>
          <cell r="AD54">
            <v>18720</v>
          </cell>
          <cell r="AE54">
            <v>45836</v>
          </cell>
          <cell r="AF54">
            <v>1751048870670</v>
          </cell>
          <cell r="AJ54">
            <v>16000</v>
          </cell>
        </row>
        <row r="55">
          <cell r="D55" t="str">
            <v>Assets Shifting</v>
          </cell>
          <cell r="E55" t="str">
            <v>MCRM7439</v>
          </cell>
          <cell r="F55">
            <v>45751</v>
          </cell>
          <cell r="G55" t="str">
            <v>SSS/2025-26/008</v>
          </cell>
          <cell r="H55" t="str">
            <v>Str8 &amp; Secure Services</v>
          </cell>
          <cell r="I55" t="str">
            <v>AQIPG2144B</v>
          </cell>
          <cell r="J55" t="str">
            <v>07AQIPG2144B1ZF</v>
          </cell>
          <cell r="K55" t="str">
            <v>Shop No-3, NARAINA Village,Opposite Naraina Bus stop  Haryana 132103</v>
          </cell>
          <cell r="L55" t="str">
            <v>Haryana</v>
          </cell>
          <cell r="M55" t="str">
            <v>Plot no 123, Sector 56 Phase IV, Industrial estate, kundli sonipat, sonipat, Haryana, 131028</v>
          </cell>
          <cell r="N55" t="str">
            <v>Haryana</v>
          </cell>
          <cell r="O55" t="str">
            <v>Assets Shifting</v>
          </cell>
          <cell r="P55">
            <v>2500</v>
          </cell>
          <cell r="Q55">
            <v>0</v>
          </cell>
          <cell r="R55">
            <v>0</v>
          </cell>
          <cell r="S55">
            <v>0</v>
          </cell>
          <cell r="T55">
            <v>450</v>
          </cell>
          <cell r="U55">
            <v>0</v>
          </cell>
          <cell r="V55">
            <v>2950</v>
          </cell>
          <cell r="W55">
            <v>25</v>
          </cell>
          <cell r="X55">
            <v>0.01</v>
          </cell>
          <cell r="Y55">
            <v>2925</v>
          </cell>
          <cell r="Z55">
            <v>2925</v>
          </cell>
          <cell r="AC55">
            <v>0</v>
          </cell>
          <cell r="AD55">
            <v>2925</v>
          </cell>
          <cell r="AE55">
            <v>45836</v>
          </cell>
          <cell r="AF55">
            <v>1751048870670</v>
          </cell>
          <cell r="AJ55">
            <v>2500</v>
          </cell>
        </row>
        <row r="56">
          <cell r="D56" t="str">
            <v>Assets Shifting</v>
          </cell>
          <cell r="E56" t="str">
            <v>MCRM7439</v>
          </cell>
          <cell r="F56">
            <v>45751</v>
          </cell>
          <cell r="G56" t="str">
            <v>SSS/2025-26/007</v>
          </cell>
          <cell r="H56" t="str">
            <v>Str8 &amp; Secure Services</v>
          </cell>
          <cell r="I56" t="str">
            <v>AQIPG2144B</v>
          </cell>
          <cell r="J56" t="str">
            <v>07AQIPG2144B1ZF</v>
          </cell>
          <cell r="K56" t="str">
            <v>Shop No-3, NARAINA Village,Opposite Naraina Bus stop  Haryana 132103</v>
          </cell>
          <cell r="L56" t="str">
            <v>Haryana</v>
          </cell>
          <cell r="M56" t="str">
            <v>Plot no 123, Sector 56 Phase IV, Industrial estate, kundli sonipat, sonipat, Haryana, 131028</v>
          </cell>
          <cell r="N56" t="str">
            <v>Haryana</v>
          </cell>
          <cell r="O56" t="str">
            <v>Assets Shifting</v>
          </cell>
          <cell r="P56">
            <v>16000</v>
          </cell>
          <cell r="Q56">
            <v>0</v>
          </cell>
          <cell r="R56">
            <v>0</v>
          </cell>
          <cell r="S56">
            <v>0</v>
          </cell>
          <cell r="T56">
            <v>2880</v>
          </cell>
          <cell r="U56">
            <v>0</v>
          </cell>
          <cell r="V56">
            <v>18880</v>
          </cell>
          <cell r="W56">
            <v>160</v>
          </cell>
          <cell r="X56">
            <v>0.01</v>
          </cell>
          <cell r="Y56">
            <v>18720</v>
          </cell>
          <cell r="Z56">
            <v>18720</v>
          </cell>
          <cell r="AC56">
            <v>0</v>
          </cell>
          <cell r="AD56">
            <v>18720</v>
          </cell>
          <cell r="AE56">
            <v>45836</v>
          </cell>
          <cell r="AF56">
            <v>1751048870670</v>
          </cell>
          <cell r="AJ56">
            <v>16000</v>
          </cell>
        </row>
        <row r="57">
          <cell r="D57" t="str">
            <v>Assets Shifting</v>
          </cell>
          <cell r="E57" t="str">
            <v>HFNC017036227</v>
          </cell>
          <cell r="F57">
            <v>45751</v>
          </cell>
          <cell r="G57" t="str">
            <v>SSS/2025-26/009</v>
          </cell>
          <cell r="H57" t="str">
            <v>Str8 &amp; Secure Services</v>
          </cell>
          <cell r="I57" t="str">
            <v>AQIPG2144B</v>
          </cell>
          <cell r="J57" t="str">
            <v>07AQIPG2144B1ZF</v>
          </cell>
          <cell r="K57" t="str">
            <v>619/20/14, Devli village Near tinu Public School, Delhi 110062</v>
          </cell>
          <cell r="L57" t="str">
            <v>Delhi</v>
          </cell>
          <cell r="M57" t="str">
            <v>Plot no 123, Sector 56 Phase IV, Industrial estate, kundli sonipat, sonipat, Haryana, 131028</v>
          </cell>
          <cell r="N57" t="str">
            <v>Haryana</v>
          </cell>
          <cell r="O57" t="str">
            <v>Assets Shifting</v>
          </cell>
          <cell r="P57">
            <v>7800</v>
          </cell>
          <cell r="Q57">
            <v>0</v>
          </cell>
          <cell r="R57">
            <v>0</v>
          </cell>
          <cell r="S57">
            <v>0</v>
          </cell>
          <cell r="T57">
            <v>1404</v>
          </cell>
          <cell r="U57">
            <v>0</v>
          </cell>
          <cell r="V57">
            <v>9204</v>
          </cell>
          <cell r="W57">
            <v>78</v>
          </cell>
          <cell r="X57">
            <v>0.01</v>
          </cell>
          <cell r="Y57">
            <v>9126</v>
          </cell>
          <cell r="Z57">
            <v>9126</v>
          </cell>
          <cell r="AC57">
            <v>0</v>
          </cell>
          <cell r="AD57">
            <v>9126</v>
          </cell>
          <cell r="AE57">
            <v>45836</v>
          </cell>
          <cell r="AF57">
            <v>1751048870670</v>
          </cell>
          <cell r="AJ57">
            <v>7800</v>
          </cell>
        </row>
        <row r="58">
          <cell r="D58" t="str">
            <v>Assets Shifting</v>
          </cell>
          <cell r="E58" t="str">
            <v>HFNC000691208</v>
          </cell>
          <cell r="F58">
            <v>45751</v>
          </cell>
          <cell r="G58" t="str">
            <v>SSS/2025-26/013</v>
          </cell>
          <cell r="H58" t="str">
            <v>Str8 &amp; Secure Services</v>
          </cell>
          <cell r="I58" t="str">
            <v>AQIPG2144B</v>
          </cell>
          <cell r="J58" t="str">
            <v>07AQIPG2144B1ZF</v>
          </cell>
          <cell r="K58" t="str">
            <v>41-42, Aram Park Rd, Ram Nagar  Road, Shahdara Delhi - 110051</v>
          </cell>
          <cell r="L58" t="str">
            <v>Delhi</v>
          </cell>
          <cell r="M58" t="str">
            <v>Plot no 123, Sector 56 Phase IV, Industrial estate, kundli sonipat, sonipat, Haryana, 131028</v>
          </cell>
          <cell r="N58" t="str">
            <v>Haryana</v>
          </cell>
          <cell r="O58" t="str">
            <v>Assets Shifting</v>
          </cell>
          <cell r="P58">
            <v>2000</v>
          </cell>
          <cell r="Q58">
            <v>0</v>
          </cell>
          <cell r="R58">
            <v>0</v>
          </cell>
          <cell r="S58">
            <v>0</v>
          </cell>
          <cell r="T58">
            <v>360</v>
          </cell>
          <cell r="U58">
            <v>0</v>
          </cell>
          <cell r="V58">
            <v>2360</v>
          </cell>
          <cell r="W58">
            <v>20</v>
          </cell>
          <cell r="X58">
            <v>0.01</v>
          </cell>
          <cell r="Y58">
            <v>2340</v>
          </cell>
          <cell r="Z58">
            <v>2340</v>
          </cell>
          <cell r="AC58">
            <v>0</v>
          </cell>
          <cell r="AD58">
            <v>2340</v>
          </cell>
          <cell r="AE58">
            <v>45836</v>
          </cell>
          <cell r="AF58">
            <v>1751048870670</v>
          </cell>
          <cell r="AJ58">
            <v>2000</v>
          </cell>
        </row>
        <row r="59">
          <cell r="D59" t="str">
            <v>Assets Shifting</v>
          </cell>
          <cell r="E59" t="str">
            <v>HFBC017036166</v>
          </cell>
          <cell r="F59">
            <v>45751</v>
          </cell>
          <cell r="G59" t="str">
            <v>SSS/2025-26/013</v>
          </cell>
          <cell r="H59" t="str">
            <v>Str8 &amp; Secure Services</v>
          </cell>
          <cell r="I59" t="str">
            <v>AQIPG2144B</v>
          </cell>
          <cell r="J59" t="str">
            <v>07AQIPG2144B1ZF</v>
          </cell>
          <cell r="K59" t="str">
            <v>H. No. - 01, Gali No. - 19, A-2 Block, West Sant Nagar, Burari, Delhi - 110084., New Delhi, Delhi, 110084</v>
          </cell>
          <cell r="L59" t="str">
            <v>Delhi</v>
          </cell>
          <cell r="M59" t="str">
            <v>Plot no 123, Sector 56 Phase IV, Industrial estate, kundli sonipat, sonipat, Haryana, 131028</v>
          </cell>
          <cell r="N59" t="str">
            <v>Haryana</v>
          </cell>
          <cell r="O59" t="str">
            <v>Assets Shifting</v>
          </cell>
          <cell r="P59">
            <v>1000</v>
          </cell>
          <cell r="Q59">
            <v>0</v>
          </cell>
          <cell r="R59">
            <v>0</v>
          </cell>
          <cell r="S59">
            <v>0</v>
          </cell>
          <cell r="T59">
            <v>180</v>
          </cell>
          <cell r="U59">
            <v>0</v>
          </cell>
          <cell r="V59">
            <v>1180</v>
          </cell>
          <cell r="W59">
            <v>10</v>
          </cell>
          <cell r="X59">
            <v>0.01</v>
          </cell>
          <cell r="Y59">
            <v>1170</v>
          </cell>
          <cell r="Z59">
            <v>1170</v>
          </cell>
          <cell r="AC59">
            <v>0</v>
          </cell>
          <cell r="AD59">
            <v>1170</v>
          </cell>
          <cell r="AE59">
            <v>45836</v>
          </cell>
          <cell r="AF59">
            <v>1751048870670</v>
          </cell>
          <cell r="AJ59">
            <v>1000</v>
          </cell>
        </row>
        <row r="60">
          <cell r="D60" t="str">
            <v>Assets Shifting</v>
          </cell>
          <cell r="E60" t="str">
            <v>HFBC017036165</v>
          </cell>
          <cell r="F60">
            <v>45751</v>
          </cell>
          <cell r="G60" t="str">
            <v>SSS/2025-26/013</v>
          </cell>
          <cell r="H60" t="str">
            <v>Str8 &amp; Secure Services</v>
          </cell>
          <cell r="I60" t="str">
            <v>AQIPG2144B</v>
          </cell>
          <cell r="J60" t="str">
            <v>07AQIPG2144B1ZF</v>
          </cell>
          <cell r="K60" t="str">
            <v>H. No. - 01, Gali No. - 19, A-2 Block, West Sant Nagar, Burari, Delhi - 110084., New Delhi, Delhi, 110084</v>
          </cell>
          <cell r="L60" t="str">
            <v>Delhi</v>
          </cell>
          <cell r="M60" t="str">
            <v>Plot no 123, Sector 56 Phase IV, Industrial estate, kundli sonipat, sonipat, Haryana, 131028</v>
          </cell>
          <cell r="N60" t="str">
            <v>Haryana</v>
          </cell>
          <cell r="O60" t="str">
            <v>Assets Shifting</v>
          </cell>
          <cell r="P60">
            <v>1000</v>
          </cell>
          <cell r="Q60">
            <v>0</v>
          </cell>
          <cell r="R60">
            <v>0</v>
          </cell>
          <cell r="S60">
            <v>0</v>
          </cell>
          <cell r="T60">
            <v>180</v>
          </cell>
          <cell r="U60">
            <v>0</v>
          </cell>
          <cell r="V60">
            <v>1180</v>
          </cell>
          <cell r="W60">
            <v>10</v>
          </cell>
          <cell r="X60">
            <v>0.01</v>
          </cell>
          <cell r="Y60">
            <v>1170</v>
          </cell>
          <cell r="Z60">
            <v>1170</v>
          </cell>
          <cell r="AC60">
            <v>0</v>
          </cell>
          <cell r="AD60">
            <v>1170</v>
          </cell>
          <cell r="AE60">
            <v>45836</v>
          </cell>
          <cell r="AF60">
            <v>1751048870670</v>
          </cell>
          <cell r="AJ60">
            <v>1000</v>
          </cell>
        </row>
        <row r="61">
          <cell r="D61" t="str">
            <v>Assets Shifting</v>
          </cell>
          <cell r="E61" t="str">
            <v>HFNC017036389</v>
          </cell>
          <cell r="F61">
            <v>45751</v>
          </cell>
          <cell r="G61" t="str">
            <v>SSS/2025-26/013</v>
          </cell>
          <cell r="H61" t="str">
            <v>Str8 &amp; Secure Services</v>
          </cell>
          <cell r="I61" t="str">
            <v>AQIPG2144B</v>
          </cell>
          <cell r="J61" t="str">
            <v>07AQIPG2144B1ZF</v>
          </cell>
          <cell r="K61" t="str">
            <v>Plot No. 197, Gali No-5,  Near Zakhira Pul And Daya Basti Rail Way Station, Nehru Nagar, Delhi-110008</v>
          </cell>
          <cell r="L61" t="str">
            <v>Delhi</v>
          </cell>
          <cell r="M61" t="str">
            <v>Plot no 123, Sector 56 Phase IV, Industrial estate, kundli sonipat, sonipat, Haryana, 131028</v>
          </cell>
          <cell r="N61" t="str">
            <v>Haryana</v>
          </cell>
          <cell r="O61" t="str">
            <v>Assets Shifting</v>
          </cell>
          <cell r="P61">
            <v>2000</v>
          </cell>
          <cell r="Q61">
            <v>0</v>
          </cell>
          <cell r="R61">
            <v>0</v>
          </cell>
          <cell r="S61">
            <v>0</v>
          </cell>
          <cell r="T61">
            <v>360</v>
          </cell>
          <cell r="U61">
            <v>0</v>
          </cell>
          <cell r="V61">
            <v>2360</v>
          </cell>
          <cell r="W61">
            <v>20</v>
          </cell>
          <cell r="X61">
            <v>0.01</v>
          </cell>
          <cell r="Y61">
            <v>2340</v>
          </cell>
          <cell r="Z61">
            <v>2340</v>
          </cell>
          <cell r="AC61">
            <v>0</v>
          </cell>
          <cell r="AD61">
            <v>2340</v>
          </cell>
          <cell r="AE61">
            <v>45836</v>
          </cell>
          <cell r="AF61">
            <v>1751048870670</v>
          </cell>
          <cell r="AJ61">
            <v>2000</v>
          </cell>
        </row>
        <row r="62">
          <cell r="D62" t="str">
            <v>Assets Shifting</v>
          </cell>
          <cell r="E62" t="str">
            <v>HFNC000691248</v>
          </cell>
          <cell r="F62">
            <v>45751</v>
          </cell>
          <cell r="G62" t="str">
            <v>SSS/2025-26/013</v>
          </cell>
          <cell r="H62" t="str">
            <v>Str8 &amp; Secure Services</v>
          </cell>
          <cell r="I62" t="str">
            <v>AQIPG2144B</v>
          </cell>
          <cell r="J62" t="str">
            <v>07AQIPG2144B1ZF</v>
          </cell>
          <cell r="K62" t="str">
            <v>Plot No.14 Baldev Park Main Parwana Road Near DRire Praise Delhi 110051.</v>
          </cell>
          <cell r="L62" t="str">
            <v>Delhi</v>
          </cell>
          <cell r="M62" t="str">
            <v>Plot no 123, Sector 56 Phase IV, Industrial estate, kundli sonipat, sonipat, Haryana, 131028</v>
          </cell>
          <cell r="N62" t="str">
            <v>Haryana</v>
          </cell>
          <cell r="O62" t="str">
            <v>Assets Shifting</v>
          </cell>
          <cell r="P62">
            <v>2000</v>
          </cell>
          <cell r="Q62">
            <v>0</v>
          </cell>
          <cell r="R62">
            <v>0</v>
          </cell>
          <cell r="S62">
            <v>0</v>
          </cell>
          <cell r="T62">
            <v>360</v>
          </cell>
          <cell r="U62">
            <v>0</v>
          </cell>
          <cell r="V62">
            <v>2360</v>
          </cell>
          <cell r="W62">
            <v>20</v>
          </cell>
          <cell r="X62">
            <v>0.01</v>
          </cell>
          <cell r="Y62">
            <v>2340</v>
          </cell>
          <cell r="Z62">
            <v>2340</v>
          </cell>
          <cell r="AC62">
            <v>0</v>
          </cell>
          <cell r="AD62">
            <v>2340</v>
          </cell>
          <cell r="AE62">
            <v>45836</v>
          </cell>
          <cell r="AF62">
            <v>1751048870670</v>
          </cell>
          <cell r="AJ62">
            <v>2000</v>
          </cell>
        </row>
        <row r="63">
          <cell r="D63" t="str">
            <v>Assets Shifting</v>
          </cell>
          <cell r="E63" t="str">
            <v>HFNC000691266</v>
          </cell>
          <cell r="F63">
            <v>45751</v>
          </cell>
          <cell r="G63" t="str">
            <v>SSS/2025-26/012</v>
          </cell>
          <cell r="H63" t="str">
            <v>Str8 &amp; Secure Services</v>
          </cell>
          <cell r="I63" t="str">
            <v>AQIPG2144B</v>
          </cell>
          <cell r="J63" t="str">
            <v>07AQIPG2144B1ZF</v>
          </cell>
          <cell r="K63" t="str">
            <v>Shop No. 9, Khasra No. 18/21, Nr. B.L. Memorial School,  Central Market, Delhi – 110059.</v>
          </cell>
          <cell r="L63" t="str">
            <v>Delhi</v>
          </cell>
          <cell r="M63" t="str">
            <v>Plot no 123, Sector 56 Phase IV, Industrial estate, kundli sonipat, sonipat, Haryana, 131028</v>
          </cell>
          <cell r="N63" t="str">
            <v>Haryana</v>
          </cell>
          <cell r="O63" t="str">
            <v>Assets Shifting</v>
          </cell>
          <cell r="P63">
            <v>7800</v>
          </cell>
          <cell r="Q63">
            <v>0</v>
          </cell>
          <cell r="R63">
            <v>0</v>
          </cell>
          <cell r="S63">
            <v>0</v>
          </cell>
          <cell r="T63">
            <v>1404</v>
          </cell>
          <cell r="U63">
            <v>0</v>
          </cell>
          <cell r="V63">
            <v>9204</v>
          </cell>
          <cell r="W63">
            <v>78</v>
          </cell>
          <cell r="X63">
            <v>0.01</v>
          </cell>
          <cell r="Y63">
            <v>9126</v>
          </cell>
          <cell r="Z63">
            <v>9126</v>
          </cell>
          <cell r="AC63">
            <v>0</v>
          </cell>
          <cell r="AD63">
            <v>9126</v>
          </cell>
          <cell r="AE63">
            <v>45836</v>
          </cell>
          <cell r="AF63">
            <v>1751048870670</v>
          </cell>
          <cell r="AJ63">
            <v>7800</v>
          </cell>
        </row>
        <row r="64">
          <cell r="D64" t="str">
            <v>Assets Shifting</v>
          </cell>
          <cell r="E64" t="str">
            <v>S1CNQ390</v>
          </cell>
          <cell r="F64">
            <v>45751</v>
          </cell>
          <cell r="G64" t="str">
            <v>SSS/2025-26/005</v>
          </cell>
          <cell r="H64" t="str">
            <v>Str8 &amp; Secure Services</v>
          </cell>
          <cell r="I64" t="str">
            <v>AQIPG2144B</v>
          </cell>
          <cell r="J64" t="str">
            <v>07AQIPG2144B1ZF</v>
          </cell>
          <cell r="K64" t="str">
            <v>ICICI Bank Atm 78-3 Whskirti Nagar, Delhi-Ii 110018</v>
          </cell>
          <cell r="L64" t="str">
            <v>Delhi</v>
          </cell>
          <cell r="M64" t="str">
            <v>ICICI Bank Atm 78-3 Whskirti Nagar, Delhi-Ii 110018</v>
          </cell>
          <cell r="N64" t="str">
            <v>Delhi</v>
          </cell>
          <cell r="O64" t="str">
            <v>Assets Shifting</v>
          </cell>
          <cell r="P64">
            <v>3000</v>
          </cell>
          <cell r="Q64">
            <v>0</v>
          </cell>
          <cell r="R64">
            <v>0</v>
          </cell>
          <cell r="S64">
            <v>0</v>
          </cell>
          <cell r="T64">
            <v>540</v>
          </cell>
          <cell r="U64">
            <v>0</v>
          </cell>
          <cell r="V64">
            <v>3540</v>
          </cell>
          <cell r="W64">
            <v>30</v>
          </cell>
          <cell r="X64">
            <v>0.01</v>
          </cell>
          <cell r="Y64">
            <v>3510</v>
          </cell>
          <cell r="Z64">
            <v>3510</v>
          </cell>
          <cell r="AC64">
            <v>0</v>
          </cell>
          <cell r="AD64">
            <v>3510</v>
          </cell>
          <cell r="AE64">
            <v>45836</v>
          </cell>
          <cell r="AF64">
            <v>1751048870670</v>
          </cell>
          <cell r="AJ64">
            <v>3000</v>
          </cell>
        </row>
        <row r="65">
          <cell r="D65" t="str">
            <v>Assets Shifting</v>
          </cell>
          <cell r="E65" t="str">
            <v>Warehouse Rent</v>
          </cell>
          <cell r="F65">
            <v>45751</v>
          </cell>
          <cell r="G65" t="str">
            <v>SSS/2025-26/014</v>
          </cell>
          <cell r="H65" t="str">
            <v>Str8 &amp; Secure Services</v>
          </cell>
          <cell r="I65" t="str">
            <v>AQIPG2144B</v>
          </cell>
          <cell r="J65" t="str">
            <v>07AQIPG2144B1ZF</v>
          </cell>
          <cell r="K65" t="str">
            <v>Ahmedabad warehouse</v>
          </cell>
          <cell r="L65" t="str">
            <v>Gujarat</v>
          </cell>
          <cell r="M65" t="str">
            <v>Ahmedabad warehouse</v>
          </cell>
          <cell r="N65" t="str">
            <v>Gujarat</v>
          </cell>
          <cell r="O65" t="str">
            <v>Assets Shifting</v>
          </cell>
          <cell r="P65">
            <v>22500</v>
          </cell>
          <cell r="Q65">
            <v>0</v>
          </cell>
          <cell r="R65">
            <v>0</v>
          </cell>
          <cell r="S65">
            <v>0</v>
          </cell>
          <cell r="T65">
            <v>4050</v>
          </cell>
          <cell r="U65">
            <v>0</v>
          </cell>
          <cell r="V65">
            <v>26550</v>
          </cell>
          <cell r="W65">
            <v>225</v>
          </cell>
          <cell r="X65">
            <v>0.01</v>
          </cell>
          <cell r="Y65">
            <v>26325</v>
          </cell>
          <cell r="Z65">
            <v>26325</v>
          </cell>
          <cell r="AC65">
            <v>0</v>
          </cell>
          <cell r="AD65">
            <v>26325</v>
          </cell>
          <cell r="AE65">
            <v>45836</v>
          </cell>
          <cell r="AF65">
            <v>1751048870670</v>
          </cell>
          <cell r="AJ65">
            <v>22500</v>
          </cell>
        </row>
        <row r="66">
          <cell r="B66">
            <v>1446</v>
          </cell>
          <cell r="C66" t="str">
            <v>NCR</v>
          </cell>
          <cell r="D66" t="str">
            <v>Assets Shifting</v>
          </cell>
          <cell r="E66" t="str">
            <v>MPZ10328</v>
          </cell>
          <cell r="F66">
            <v>45782</v>
          </cell>
          <cell r="G66" t="str">
            <v>SSS/2025-26/028</v>
          </cell>
          <cell r="H66" t="str">
            <v>Str8 &amp; Secure Services</v>
          </cell>
          <cell r="I66" t="str">
            <v>AQIPG2144B</v>
          </cell>
          <cell r="J66" t="str">
            <v>07AQIPG2144B1ZF</v>
          </cell>
          <cell r="K66" t="str">
            <v>Blockno.75, surat bardoli road, village tanthithalya, tal.palsana, dist.surat. 394305</v>
          </cell>
          <cell r="L66" t="str">
            <v>Gujarat</v>
          </cell>
          <cell r="M66" t="str">
            <v>Kishore Bagai Transport, l-2 Jai Mata Di Compound , 2nd left next to Hetvi Textile, Kalher Bhiwandi, Maharashtra - 421302</v>
          </cell>
          <cell r="N66" t="str">
            <v>Maharashtra</v>
          </cell>
          <cell r="O66" t="str">
            <v>Assets Shifting</v>
          </cell>
          <cell r="P66">
            <v>20000</v>
          </cell>
          <cell r="Q66">
            <v>0</v>
          </cell>
          <cell r="R66">
            <v>0</v>
          </cell>
          <cell r="S66">
            <v>0</v>
          </cell>
          <cell r="T66">
            <v>3600</v>
          </cell>
          <cell r="U66">
            <v>0</v>
          </cell>
          <cell r="V66">
            <v>23600</v>
          </cell>
          <cell r="W66">
            <v>400</v>
          </cell>
          <cell r="X66">
            <v>0.02</v>
          </cell>
          <cell r="Y66">
            <v>23200</v>
          </cell>
          <cell r="Z66">
            <v>23200</v>
          </cell>
          <cell r="AC66">
            <v>0</v>
          </cell>
          <cell r="AD66">
            <v>23200</v>
          </cell>
          <cell r="AE66">
            <v>45856</v>
          </cell>
          <cell r="AF66" t="str">
            <v>YESMS51990261461</v>
          </cell>
          <cell r="AJ66">
            <v>20000</v>
          </cell>
        </row>
        <row r="67">
          <cell r="B67">
            <v>1442</v>
          </cell>
          <cell r="C67" t="str">
            <v>Hitachi</v>
          </cell>
          <cell r="D67" t="str">
            <v>Assets Shifting</v>
          </cell>
          <cell r="E67">
            <v>201434828</v>
          </cell>
          <cell r="F67">
            <v>45782</v>
          </cell>
          <cell r="G67" t="str">
            <v>SSS/2025-26/021</v>
          </cell>
          <cell r="H67" t="str">
            <v>Str8 &amp; Secure Services</v>
          </cell>
          <cell r="I67" t="str">
            <v>AQIPG2144B</v>
          </cell>
          <cell r="J67" t="str">
            <v>07AQIPG2144B1ZF</v>
          </cell>
          <cell r="K67" t="str">
            <v>Delhi WH</v>
          </cell>
          <cell r="L67" t="str">
            <v>Delhi</v>
          </cell>
          <cell r="M67" t="str">
            <v>Shop no 2 MAYUR VIHAR,PHASE-3,DELHI,110096</v>
          </cell>
          <cell r="N67" t="str">
            <v>Delhi</v>
          </cell>
          <cell r="O67" t="str">
            <v>Assets Shifting</v>
          </cell>
          <cell r="P67">
            <v>2500</v>
          </cell>
          <cell r="Q67">
            <v>0</v>
          </cell>
          <cell r="R67">
            <v>0</v>
          </cell>
          <cell r="S67">
            <v>0</v>
          </cell>
          <cell r="T67">
            <v>450</v>
          </cell>
          <cell r="U67">
            <v>0</v>
          </cell>
          <cell r="V67">
            <v>2950</v>
          </cell>
          <cell r="W67">
            <v>50</v>
          </cell>
          <cell r="X67">
            <v>0.02</v>
          </cell>
          <cell r="Y67">
            <v>2900</v>
          </cell>
          <cell r="Z67">
            <v>2900</v>
          </cell>
          <cell r="AC67">
            <v>0</v>
          </cell>
          <cell r="AD67">
            <v>2900</v>
          </cell>
          <cell r="AE67">
            <v>45856</v>
          </cell>
          <cell r="AF67" t="str">
            <v>YESMS51990261461</v>
          </cell>
          <cell r="AJ67">
            <v>2500</v>
          </cell>
        </row>
        <row r="68">
          <cell r="B68">
            <v>1441</v>
          </cell>
          <cell r="C68" t="str">
            <v>Hitachi</v>
          </cell>
          <cell r="D68" t="str">
            <v>Assets Shifting</v>
          </cell>
          <cell r="E68" t="str">
            <v>MCRM3346</v>
          </cell>
          <cell r="F68">
            <v>45782</v>
          </cell>
          <cell r="G68" t="str">
            <v>SSS/2025-26/022</v>
          </cell>
          <cell r="H68" t="str">
            <v>Str8 &amp; Secure Services</v>
          </cell>
          <cell r="I68" t="str">
            <v>AQIPG2144B</v>
          </cell>
          <cell r="J68" t="str">
            <v>07AQIPG2144B1ZF</v>
          </cell>
          <cell r="K68" t="str">
            <v>NR, Tawre Shop No-2 Vavdi Mohalla, Borsad, Gujarat 388540</v>
          </cell>
          <cell r="L68" t="str">
            <v>Gujarat</v>
          </cell>
          <cell r="M68" t="str">
            <v>Kishore Bagai Transport, l-2 Jai Mata Di Compound , 2nd left next to Hetvi Textile, Kalher Bhiwandi, Maharashtra - 421302</v>
          </cell>
          <cell r="N68" t="str">
            <v>Maharashtra</v>
          </cell>
          <cell r="O68" t="str">
            <v>Assets Shifting</v>
          </cell>
          <cell r="P68">
            <v>21000</v>
          </cell>
          <cell r="Q68">
            <v>0</v>
          </cell>
          <cell r="R68">
            <v>0</v>
          </cell>
          <cell r="S68">
            <v>0</v>
          </cell>
          <cell r="T68">
            <v>3780</v>
          </cell>
          <cell r="U68">
            <v>0</v>
          </cell>
          <cell r="V68">
            <v>24780</v>
          </cell>
          <cell r="W68">
            <v>420</v>
          </cell>
          <cell r="X68">
            <v>0.02</v>
          </cell>
          <cell r="Y68">
            <v>24360</v>
          </cell>
          <cell r="Z68">
            <v>24360</v>
          </cell>
          <cell r="AC68">
            <v>0</v>
          </cell>
          <cell r="AD68">
            <v>24360</v>
          </cell>
          <cell r="AE68">
            <v>45856</v>
          </cell>
          <cell r="AF68" t="str">
            <v>YESMS51990261461</v>
          </cell>
          <cell r="AJ68">
            <v>21000</v>
          </cell>
        </row>
        <row r="69">
          <cell r="B69">
            <v>1469</v>
          </cell>
          <cell r="C69" t="str">
            <v>Hitachi</v>
          </cell>
          <cell r="D69" t="str">
            <v>Assets Shifting</v>
          </cell>
          <cell r="E69">
            <v>201436324</v>
          </cell>
          <cell r="F69">
            <v>45782</v>
          </cell>
          <cell r="G69" t="str">
            <v>SSS/2025-26/021</v>
          </cell>
          <cell r="H69" t="str">
            <v>Str8 &amp; Secure Services</v>
          </cell>
          <cell r="I69" t="str">
            <v>AQIPG2144B</v>
          </cell>
          <cell r="J69" t="str">
            <v>07AQIPG2144B1ZF</v>
          </cell>
          <cell r="K69" t="str">
            <v>GXQ72HV,GHARAUNDA-FURLAK-SATAUNDI RD,JARAULI,GHARAUNDA,HARYANA 132114,INDIA.</v>
          </cell>
          <cell r="L69" t="str">
            <v>Haryana</v>
          </cell>
          <cell r="M69" t="str">
            <v>GXQ72HV,GHARAUNDA-FURLAK-SATAUNDI RD,JARAULI,GHARAUNDA,HARYANA 132114,INDIA.</v>
          </cell>
          <cell r="N69" t="str">
            <v>Haryana</v>
          </cell>
          <cell r="O69" t="str">
            <v>Assets Shifting</v>
          </cell>
          <cell r="P69">
            <v>2500</v>
          </cell>
          <cell r="Q69">
            <v>0</v>
          </cell>
          <cell r="R69">
            <v>0</v>
          </cell>
          <cell r="S69">
            <v>0</v>
          </cell>
          <cell r="T69">
            <v>450</v>
          </cell>
          <cell r="U69">
            <v>0</v>
          </cell>
          <cell r="V69">
            <v>2950</v>
          </cell>
          <cell r="W69">
            <v>50</v>
          </cell>
          <cell r="X69">
            <v>0.02</v>
          </cell>
          <cell r="Y69">
            <v>2900</v>
          </cell>
          <cell r="Z69">
            <v>2900</v>
          </cell>
          <cell r="AC69">
            <v>0</v>
          </cell>
          <cell r="AD69">
            <v>2900</v>
          </cell>
          <cell r="AE69">
            <v>45856</v>
          </cell>
          <cell r="AF69" t="str">
            <v>YESMS51990261461</v>
          </cell>
          <cell r="AJ69">
            <v>2500</v>
          </cell>
        </row>
        <row r="70">
          <cell r="B70">
            <v>1470</v>
          </cell>
          <cell r="C70" t="str">
            <v>Hitachi</v>
          </cell>
          <cell r="D70" t="str">
            <v>Assets Shifting</v>
          </cell>
          <cell r="E70" t="str">
            <v>MPZ15150</v>
          </cell>
          <cell r="F70">
            <v>45782</v>
          </cell>
          <cell r="G70" t="str">
            <v>SSS/2025-26/021</v>
          </cell>
          <cell r="H70" t="str">
            <v>Str8 &amp; Secure Services</v>
          </cell>
          <cell r="I70" t="str">
            <v>AQIPG2144B</v>
          </cell>
          <cell r="J70" t="str">
            <v>07AQIPG2144B1ZF</v>
          </cell>
          <cell r="K70" t="str">
            <v>GXQ72HV,GHARAUNDA-FURLAK-SATAUNDI RD,JARAULI,GHARAUNDA,HARYANA 132114,INDIA.</v>
          </cell>
          <cell r="L70" t="str">
            <v>Haryana</v>
          </cell>
          <cell r="M70" t="str">
            <v>Plot no 123, Sector 56 Phase IV, Industrial estate, kundli sonipat, sonipat, Haryana, 131028</v>
          </cell>
          <cell r="N70" t="str">
            <v>Haryana</v>
          </cell>
          <cell r="O70" t="str">
            <v>Assets Shifting</v>
          </cell>
          <cell r="P70">
            <v>12000</v>
          </cell>
          <cell r="Q70">
            <v>0</v>
          </cell>
          <cell r="R70">
            <v>0</v>
          </cell>
          <cell r="S70">
            <v>0</v>
          </cell>
          <cell r="T70">
            <v>2160</v>
          </cell>
          <cell r="U70">
            <v>0</v>
          </cell>
          <cell r="V70">
            <v>14160</v>
          </cell>
          <cell r="W70">
            <v>240</v>
          </cell>
          <cell r="X70">
            <v>0.02</v>
          </cell>
          <cell r="Y70">
            <v>13920</v>
          </cell>
          <cell r="Z70">
            <v>10141</v>
          </cell>
          <cell r="AA70">
            <v>3779</v>
          </cell>
          <cell r="AC70">
            <v>3779</v>
          </cell>
          <cell r="AD70">
            <v>10141</v>
          </cell>
          <cell r="AE70">
            <v>45836</v>
          </cell>
          <cell r="AF70">
            <v>1751048870670</v>
          </cell>
          <cell r="AG70">
            <v>3779</v>
          </cell>
          <cell r="AH70">
            <v>45856</v>
          </cell>
          <cell r="AI70" t="str">
            <v>YESMS51990261461</v>
          </cell>
          <cell r="AJ70">
            <v>12000</v>
          </cell>
        </row>
        <row r="71">
          <cell r="B71">
            <v>1481</v>
          </cell>
          <cell r="C71" t="str">
            <v>NCR</v>
          </cell>
          <cell r="D71" t="str">
            <v>Assets Shifting</v>
          </cell>
          <cell r="E71" t="str">
            <v>HFNC017036227</v>
          </cell>
          <cell r="F71">
            <v>45782</v>
          </cell>
          <cell r="G71" t="str">
            <v>SSS/2025-26/027</v>
          </cell>
          <cell r="H71" t="str">
            <v>Str8 &amp; Secure Services</v>
          </cell>
          <cell r="I71" t="str">
            <v>AQIPG2144B</v>
          </cell>
          <cell r="J71" t="str">
            <v>07AQIPG2144B1ZF</v>
          </cell>
          <cell r="K71" t="str">
            <v>Plot no 123, Sector 56 Phase IV, Industrial estate, kundli sonipat, sonipat, Haryana, 131028</v>
          </cell>
          <cell r="L71" t="str">
            <v>Haryana</v>
          </cell>
          <cell r="M71" t="str">
            <v>333, Ext1 Shalimar Garden Ghaziabad</v>
          </cell>
          <cell r="N71" t="str">
            <v>Uttar Pradesh</v>
          </cell>
          <cell r="O71" t="str">
            <v>Assets Shifting</v>
          </cell>
          <cell r="P71">
            <v>6000</v>
          </cell>
          <cell r="Q71">
            <v>0</v>
          </cell>
          <cell r="R71">
            <v>0</v>
          </cell>
          <cell r="S71">
            <v>0</v>
          </cell>
          <cell r="T71">
            <v>1080</v>
          </cell>
          <cell r="U71">
            <v>0</v>
          </cell>
          <cell r="V71">
            <v>7080</v>
          </cell>
          <cell r="W71">
            <v>120</v>
          </cell>
          <cell r="X71">
            <v>0.02</v>
          </cell>
          <cell r="Y71">
            <v>6960</v>
          </cell>
          <cell r="Z71">
            <v>6960</v>
          </cell>
          <cell r="AC71">
            <v>0</v>
          </cell>
          <cell r="AD71">
            <v>6960</v>
          </cell>
          <cell r="AE71">
            <v>45856</v>
          </cell>
          <cell r="AF71" t="str">
            <v>YESMS51990261461</v>
          </cell>
          <cell r="AJ71">
            <v>6000</v>
          </cell>
        </row>
        <row r="72">
          <cell r="B72">
            <v>1482</v>
          </cell>
          <cell r="C72" t="str">
            <v>NCR</v>
          </cell>
          <cell r="D72" t="str">
            <v>Assets Shifting</v>
          </cell>
          <cell r="E72" t="str">
            <v>HFNC000691208</v>
          </cell>
          <cell r="F72">
            <v>45782</v>
          </cell>
          <cell r="G72" t="str">
            <v>SSS/2025-26/027</v>
          </cell>
          <cell r="H72" t="str">
            <v>Str8 &amp; Secure Services</v>
          </cell>
          <cell r="I72" t="str">
            <v>AQIPG2144B</v>
          </cell>
          <cell r="J72" t="str">
            <v>07AQIPG2144B1ZF</v>
          </cell>
          <cell r="K72" t="str">
            <v>Plot no 123, Sector 56 Phase IV, Industrial estate, kundli sonipat, sonipat, Haryana, 131028</v>
          </cell>
          <cell r="L72" t="str">
            <v>Haryana</v>
          </cell>
          <cell r="M72" t="str">
            <v>shop 1, Malhanpar khajni, Gorakhpur up</v>
          </cell>
          <cell r="N72" t="str">
            <v>Uttar Pradesh</v>
          </cell>
          <cell r="O72" t="str">
            <v>Assets Shifting</v>
          </cell>
          <cell r="P72">
            <v>13500</v>
          </cell>
          <cell r="Q72">
            <v>0</v>
          </cell>
          <cell r="R72">
            <v>0</v>
          </cell>
          <cell r="S72">
            <v>0</v>
          </cell>
          <cell r="T72">
            <v>2430</v>
          </cell>
          <cell r="U72">
            <v>0</v>
          </cell>
          <cell r="V72">
            <v>15930</v>
          </cell>
          <cell r="W72">
            <v>270</v>
          </cell>
          <cell r="X72">
            <v>0.02</v>
          </cell>
          <cell r="Y72">
            <v>15660</v>
          </cell>
          <cell r="Z72">
            <v>15660</v>
          </cell>
          <cell r="AC72">
            <v>0</v>
          </cell>
          <cell r="AD72">
            <v>15660</v>
          </cell>
          <cell r="AE72">
            <v>45856</v>
          </cell>
          <cell r="AF72" t="str">
            <v>YESMS51990261461</v>
          </cell>
          <cell r="AJ72">
            <v>13500</v>
          </cell>
        </row>
        <row r="73">
          <cell r="B73">
            <v>1483</v>
          </cell>
          <cell r="C73" t="str">
            <v>NCR</v>
          </cell>
          <cell r="D73" t="str">
            <v>Assets Shifting</v>
          </cell>
          <cell r="E73" t="str">
            <v>HFNC017036120</v>
          </cell>
          <cell r="F73">
            <v>45782</v>
          </cell>
          <cell r="G73" t="str">
            <v>SSS/2025-26/027</v>
          </cell>
          <cell r="H73" t="str">
            <v>Str8 &amp; Secure Services</v>
          </cell>
          <cell r="I73" t="str">
            <v>AQIPG2144B</v>
          </cell>
          <cell r="J73" t="str">
            <v>07AQIPG2144B1ZF</v>
          </cell>
          <cell r="K73" t="str">
            <v>Plot no 123, Sector 56 Phase IV, Industrial estate, kundli sonipat, sonipat, Haryana, 131028</v>
          </cell>
          <cell r="L73" t="str">
            <v>Haryana</v>
          </cell>
          <cell r="M73" t="str">
            <v>SHOP NO. 232, CHOUDHARY COMPLEX MUKERIAGANJ MAIN ROAD NEAR MURLI CINEMA HOUSE, AZAMGARH UP 276001</v>
          </cell>
          <cell r="N73" t="str">
            <v>Uttar Pradesh</v>
          </cell>
          <cell r="O73" t="str">
            <v>Assets Shifting</v>
          </cell>
          <cell r="P73">
            <v>13500</v>
          </cell>
          <cell r="Q73">
            <v>0</v>
          </cell>
          <cell r="R73">
            <v>0</v>
          </cell>
          <cell r="S73">
            <v>0</v>
          </cell>
          <cell r="T73">
            <v>2430</v>
          </cell>
          <cell r="U73">
            <v>0</v>
          </cell>
          <cell r="V73">
            <v>15930</v>
          </cell>
          <cell r="W73">
            <v>270</v>
          </cell>
          <cell r="X73">
            <v>0.02</v>
          </cell>
          <cell r="Y73">
            <v>15660</v>
          </cell>
          <cell r="Z73">
            <v>15660</v>
          </cell>
          <cell r="AC73">
            <v>0</v>
          </cell>
          <cell r="AD73">
            <v>15660</v>
          </cell>
          <cell r="AE73">
            <v>45856</v>
          </cell>
          <cell r="AF73" t="str">
            <v>YESMS51990261461</v>
          </cell>
          <cell r="AJ73">
            <v>13500</v>
          </cell>
        </row>
        <row r="74">
          <cell r="B74">
            <v>1289</v>
          </cell>
          <cell r="C74" t="str">
            <v>NCR</v>
          </cell>
          <cell r="D74" t="str">
            <v>Assets Shifting</v>
          </cell>
          <cell r="E74" t="str">
            <v>ID002116</v>
          </cell>
          <cell r="F74">
            <v>45782</v>
          </cell>
          <cell r="G74" t="str">
            <v>SSS/2025-26/027</v>
          </cell>
          <cell r="H74" t="str">
            <v>Str8 &amp; Secure Services</v>
          </cell>
          <cell r="I74" t="str">
            <v>AQIPG2144B</v>
          </cell>
          <cell r="J74" t="str">
            <v>07AQIPG2144B1ZF</v>
          </cell>
          <cell r="K74" t="str">
            <v>Shop No.16, GF, Shivalay Complex, B/s Randeshwar Mahadev Temple, Vasna Rd, Vadodara 390 015, Gujarat</v>
          </cell>
          <cell r="L74" t="str">
            <v>Gujarat</v>
          </cell>
          <cell r="M74" t="str">
            <v>IDBI Bank, Shop No.11, Ground Floor Olive Greens at Gota, SG Highway Ahmedabad, Taluka Ghatlodia, 382 481,</v>
          </cell>
          <cell r="N74" t="str">
            <v>Gujarat</v>
          </cell>
          <cell r="O74" t="str">
            <v>Assets Shifting</v>
          </cell>
          <cell r="P74">
            <v>6800</v>
          </cell>
          <cell r="Q74">
            <v>0</v>
          </cell>
          <cell r="R74">
            <v>0</v>
          </cell>
          <cell r="S74">
            <v>0</v>
          </cell>
          <cell r="T74">
            <v>1224</v>
          </cell>
          <cell r="U74">
            <v>0</v>
          </cell>
          <cell r="V74">
            <v>8024</v>
          </cell>
          <cell r="W74">
            <v>136</v>
          </cell>
          <cell r="X74">
            <v>0.02</v>
          </cell>
          <cell r="Y74">
            <v>7888</v>
          </cell>
          <cell r="Z74">
            <v>7888</v>
          </cell>
          <cell r="AC74">
            <v>0</v>
          </cell>
          <cell r="AD74">
            <v>7888</v>
          </cell>
          <cell r="AE74">
            <v>45856</v>
          </cell>
          <cell r="AF74" t="str">
            <v>YESMS51990261461</v>
          </cell>
          <cell r="AJ74">
            <v>6800</v>
          </cell>
        </row>
        <row r="75">
          <cell r="B75">
            <v>1514</v>
          </cell>
          <cell r="C75" t="str">
            <v>NCR</v>
          </cell>
          <cell r="D75" t="str">
            <v>Assets Shifting</v>
          </cell>
          <cell r="E75" t="str">
            <v>MPZ11519</v>
          </cell>
          <cell r="F75">
            <v>45782</v>
          </cell>
          <cell r="G75" t="str">
            <v>SSS/2025-26/027</v>
          </cell>
          <cell r="H75" t="str">
            <v>Str8 &amp; Secure Services</v>
          </cell>
          <cell r="I75" t="str">
            <v>AQIPG2144B</v>
          </cell>
          <cell r="J75" t="str">
            <v>07AQIPG2144B1ZF</v>
          </cell>
          <cell r="K75" t="str">
            <v>Jain Society, Near Bus Stand,Dhandhuka Near Bus Stand Gujarat 382460</v>
          </cell>
          <cell r="L75" t="str">
            <v>Gujarat</v>
          </cell>
          <cell r="M75" t="str">
            <v>shop No 23 Opp. urban Bank,Tarapur At.tarapur Dist.anand Pin.388180</v>
          </cell>
          <cell r="N75" t="str">
            <v>Gujarat</v>
          </cell>
          <cell r="O75" t="str">
            <v>Assets Shifting</v>
          </cell>
          <cell r="P75">
            <v>7500</v>
          </cell>
          <cell r="Q75">
            <v>0</v>
          </cell>
          <cell r="R75">
            <v>0</v>
          </cell>
          <cell r="S75">
            <v>0</v>
          </cell>
          <cell r="T75">
            <v>1350</v>
          </cell>
          <cell r="U75">
            <v>0</v>
          </cell>
          <cell r="V75">
            <v>8850</v>
          </cell>
          <cell r="W75">
            <v>150</v>
          </cell>
          <cell r="X75">
            <v>0.02</v>
          </cell>
          <cell r="Y75">
            <v>8700</v>
          </cell>
          <cell r="Z75">
            <v>8700</v>
          </cell>
          <cell r="AC75">
            <v>0</v>
          </cell>
          <cell r="AD75">
            <v>8700</v>
          </cell>
          <cell r="AE75">
            <v>45856</v>
          </cell>
          <cell r="AF75" t="str">
            <v>YESMS51990261461</v>
          </cell>
          <cell r="AJ75">
            <v>7500</v>
          </cell>
        </row>
        <row r="76">
          <cell r="B76">
            <v>1515</v>
          </cell>
          <cell r="C76" t="str">
            <v>NCR</v>
          </cell>
          <cell r="D76" t="str">
            <v>Assets Shifting</v>
          </cell>
          <cell r="E76" t="str">
            <v>MPZ11519</v>
          </cell>
          <cell r="F76">
            <v>45782</v>
          </cell>
          <cell r="G76" t="str">
            <v>SSS/2025-26/029</v>
          </cell>
          <cell r="H76" t="str">
            <v>Str8 &amp; Secure Services</v>
          </cell>
          <cell r="I76" t="str">
            <v>AQIPG2144B</v>
          </cell>
          <cell r="J76" t="str">
            <v>07AQIPG2144B1ZF</v>
          </cell>
          <cell r="K76" t="str">
            <v>Jain Society, Near Bus Stand,Dhandhuka Near Bus Stand Gujarat 382460</v>
          </cell>
          <cell r="L76" t="str">
            <v>Gujarat</v>
          </cell>
          <cell r="M76" t="str">
            <v>Kishore Bagai Transport, l-2 Jai Mata Di Compound , 2nd left next to Hetvi Textile, Kalher Bhiwandi, Maharashtra - 421302</v>
          </cell>
          <cell r="N76" t="str">
            <v>Maharashtra</v>
          </cell>
          <cell r="O76" t="str">
            <v>Assets Shifting</v>
          </cell>
          <cell r="P76">
            <v>7000</v>
          </cell>
          <cell r="Q76">
            <v>0</v>
          </cell>
          <cell r="R76">
            <v>0</v>
          </cell>
          <cell r="S76">
            <v>0</v>
          </cell>
          <cell r="T76">
            <v>1260</v>
          </cell>
          <cell r="U76">
            <v>0</v>
          </cell>
          <cell r="V76">
            <v>8260</v>
          </cell>
          <cell r="W76">
            <v>140</v>
          </cell>
          <cell r="X76">
            <v>0.02</v>
          </cell>
          <cell r="Y76">
            <v>8120</v>
          </cell>
          <cell r="Z76">
            <v>8120</v>
          </cell>
          <cell r="AC76">
            <v>0</v>
          </cell>
          <cell r="AD76">
            <v>8120</v>
          </cell>
          <cell r="AE76">
            <v>45856</v>
          </cell>
          <cell r="AF76" t="str">
            <v>YESMS51990261461</v>
          </cell>
          <cell r="AJ76">
            <v>7000</v>
          </cell>
        </row>
        <row r="77">
          <cell r="B77">
            <v>1517</v>
          </cell>
          <cell r="C77" t="str">
            <v>NCR</v>
          </cell>
          <cell r="D77" t="str">
            <v>Assets Shifting</v>
          </cell>
          <cell r="E77" t="str">
            <v>MPZ12039</v>
          </cell>
          <cell r="F77">
            <v>45782</v>
          </cell>
          <cell r="G77" t="str">
            <v>SSS/2025-26/030</v>
          </cell>
          <cell r="H77" t="str">
            <v>Str8 &amp; Secure Services</v>
          </cell>
          <cell r="I77" t="str">
            <v>AQIPG2144B</v>
          </cell>
          <cell r="J77" t="str">
            <v>07AQIPG2144B1ZF</v>
          </cell>
          <cell r="K77" t="str">
            <v>Yogi Kirana Store Turkha road,Botad</v>
          </cell>
          <cell r="L77" t="str">
            <v>Gujarat</v>
          </cell>
          <cell r="M77" t="str">
            <v>Kishore Bagai Transport, l-2 Jai Mata Di Compound , 2nd left next to Hetvi Textile, Kalher Bhiwandi, Maharashtra - 421302</v>
          </cell>
          <cell r="N77" t="str">
            <v>Maharashtra</v>
          </cell>
          <cell r="O77" t="str">
            <v>Assets Shifting</v>
          </cell>
          <cell r="P77">
            <v>19500</v>
          </cell>
          <cell r="Q77">
            <v>0</v>
          </cell>
          <cell r="R77">
            <v>0</v>
          </cell>
          <cell r="S77">
            <v>0</v>
          </cell>
          <cell r="T77">
            <v>3510</v>
          </cell>
          <cell r="U77">
            <v>0</v>
          </cell>
          <cell r="V77">
            <v>23010</v>
          </cell>
          <cell r="W77">
            <v>390</v>
          </cell>
          <cell r="X77">
            <v>0.02</v>
          </cell>
          <cell r="Y77">
            <v>22620</v>
          </cell>
          <cell r="Z77">
            <v>22620</v>
          </cell>
          <cell r="AC77">
            <v>0</v>
          </cell>
          <cell r="AD77">
            <v>22620</v>
          </cell>
          <cell r="AE77">
            <v>45856</v>
          </cell>
          <cell r="AF77" t="str">
            <v>YESMS51990261461</v>
          </cell>
          <cell r="AJ77">
            <v>19500</v>
          </cell>
        </row>
        <row r="78">
          <cell r="B78">
            <v>1520</v>
          </cell>
          <cell r="C78" t="str">
            <v>NCR</v>
          </cell>
          <cell r="D78" t="str">
            <v>Assets Shifting</v>
          </cell>
          <cell r="E78" t="str">
            <v>DELON332</v>
          </cell>
          <cell r="F78">
            <v>45782</v>
          </cell>
          <cell r="G78" t="str">
            <v>SSS/2025-26/033</v>
          </cell>
          <cell r="H78" t="str">
            <v>Str8 &amp; Secure Services</v>
          </cell>
          <cell r="I78" t="str">
            <v>AQIPG2144B</v>
          </cell>
          <cell r="J78" t="str">
            <v>07AQIPG2144B1ZF</v>
          </cell>
          <cell r="K78" t="str">
            <v>Ground Floor,Shop No G-7,Meridian View,SCO,Plot No E2,ACB,Greater Noida,Utter Pradesh-201308</v>
          </cell>
          <cell r="L78" t="str">
            <v>Uttar Pradesh</v>
          </cell>
          <cell r="M78" t="str">
            <v>S-2/1, EPIP, Surajpur Industrial Area, Kasna, Greater Noida, Uttar Pradesh - 210310</v>
          </cell>
          <cell r="N78" t="str">
            <v>Uttar Pradesh</v>
          </cell>
          <cell r="O78" t="str">
            <v>Assets Shifting</v>
          </cell>
          <cell r="P78">
            <v>2000</v>
          </cell>
          <cell r="Q78">
            <v>0</v>
          </cell>
          <cell r="R78">
            <v>0</v>
          </cell>
          <cell r="S78">
            <v>0</v>
          </cell>
          <cell r="T78">
            <v>360</v>
          </cell>
          <cell r="U78">
            <v>0</v>
          </cell>
          <cell r="V78">
            <v>2360</v>
          </cell>
          <cell r="W78">
            <v>40</v>
          </cell>
          <cell r="X78">
            <v>0.02</v>
          </cell>
          <cell r="Y78">
            <v>2320</v>
          </cell>
          <cell r="Z78">
            <v>2320</v>
          </cell>
          <cell r="AC78">
            <v>0</v>
          </cell>
          <cell r="AD78">
            <v>2320</v>
          </cell>
          <cell r="AE78">
            <v>45856</v>
          </cell>
          <cell r="AF78" t="str">
            <v>YESMS51990261461</v>
          </cell>
          <cell r="AJ78">
            <v>2000</v>
          </cell>
        </row>
        <row r="79">
          <cell r="B79">
            <v>1522</v>
          </cell>
          <cell r="C79" t="str">
            <v>NCR</v>
          </cell>
          <cell r="D79" t="str">
            <v>Assets Shifting</v>
          </cell>
          <cell r="E79" t="str">
            <v>DLOD1836</v>
          </cell>
          <cell r="F79">
            <v>45782</v>
          </cell>
          <cell r="G79" t="str">
            <v>SSS/2025-26/027</v>
          </cell>
          <cell r="H79" t="str">
            <v>Str8 &amp; Secure Services</v>
          </cell>
          <cell r="I79" t="str">
            <v>AQIPG2144B</v>
          </cell>
          <cell r="J79" t="str">
            <v>07AQIPG2144B1ZF</v>
          </cell>
          <cell r="K79" t="str">
            <v>Ground Floor, Plot No.01, Opposite Maruti Gate No.02,Old Delhi Gurugram Road, Gurugram-122001</v>
          </cell>
          <cell r="L79" t="str">
            <v>Haryana</v>
          </cell>
          <cell r="M79" t="str">
            <v>Kotak Mahindra Bank; B &amp; B-1 “Enkay Tower”, Vanijya Nikunj, Phase V, Gurugram, Haryana. Pin Code - 122016</v>
          </cell>
          <cell r="N79" t="str">
            <v>Haryana</v>
          </cell>
          <cell r="O79" t="str">
            <v>Assets Shifting</v>
          </cell>
          <cell r="P79">
            <v>7600</v>
          </cell>
          <cell r="Q79">
            <v>0</v>
          </cell>
          <cell r="R79">
            <v>0</v>
          </cell>
          <cell r="S79">
            <v>0</v>
          </cell>
          <cell r="T79">
            <v>1368</v>
          </cell>
          <cell r="U79">
            <v>0</v>
          </cell>
          <cell r="V79">
            <v>8968</v>
          </cell>
          <cell r="W79">
            <v>152</v>
          </cell>
          <cell r="X79">
            <v>0.02</v>
          </cell>
          <cell r="Y79">
            <v>8816</v>
          </cell>
          <cell r="Z79">
            <v>8816</v>
          </cell>
          <cell r="AC79">
            <v>0</v>
          </cell>
          <cell r="AD79">
            <v>8816</v>
          </cell>
          <cell r="AE79">
            <v>45856</v>
          </cell>
          <cell r="AF79" t="str">
            <v>YESMS51990261461</v>
          </cell>
          <cell r="AJ79">
            <v>7600</v>
          </cell>
        </row>
        <row r="80">
          <cell r="B80">
            <v>1521</v>
          </cell>
          <cell r="C80" t="str">
            <v>NCR</v>
          </cell>
          <cell r="D80" t="str">
            <v>Assets Shifting</v>
          </cell>
          <cell r="E80" t="str">
            <v>GHZON490</v>
          </cell>
          <cell r="F80">
            <v>45782</v>
          </cell>
          <cell r="G80" t="str">
            <v>SSS/2025-26/033</v>
          </cell>
          <cell r="H80" t="str">
            <v>Str8 &amp; Secure Services</v>
          </cell>
          <cell r="I80" t="str">
            <v>AQIPG2144B</v>
          </cell>
          <cell r="J80" t="str">
            <v>07AQIPG2144B1ZF</v>
          </cell>
          <cell r="K80" t="str">
            <v>Ground Floor, Shop No. 2, Windsor Park, 5 Vaibhav Khand, Indrapuram, Ghaziabad – 201010</v>
          </cell>
          <cell r="L80" t="str">
            <v>Uttar Pradesh</v>
          </cell>
          <cell r="M80" t="str">
            <v>Kotak Mahindra Bank LTD,Ground Floor, GF-42, Millanium Place, Sushant Golf City, Shaheed Path, Muzaffar Nagar Ghusval, Lucknow – 226 030. Uttar Pradesh</v>
          </cell>
          <cell r="N80" t="str">
            <v>Uttar Pradesh</v>
          </cell>
          <cell r="O80" t="str">
            <v>Assets Shifting</v>
          </cell>
          <cell r="P80">
            <v>2000</v>
          </cell>
          <cell r="Q80">
            <v>0</v>
          </cell>
          <cell r="R80">
            <v>0</v>
          </cell>
          <cell r="S80">
            <v>0</v>
          </cell>
          <cell r="T80">
            <v>360</v>
          </cell>
          <cell r="U80">
            <v>0</v>
          </cell>
          <cell r="V80">
            <v>2360</v>
          </cell>
          <cell r="W80">
            <v>40</v>
          </cell>
          <cell r="X80">
            <v>0.02</v>
          </cell>
          <cell r="Y80">
            <v>2320</v>
          </cell>
          <cell r="Z80">
            <v>2320</v>
          </cell>
          <cell r="AC80">
            <v>0</v>
          </cell>
          <cell r="AD80">
            <v>2320</v>
          </cell>
          <cell r="AE80">
            <v>45856</v>
          </cell>
          <cell r="AF80" t="str">
            <v>YESMS51990261461</v>
          </cell>
          <cell r="AJ80">
            <v>2000</v>
          </cell>
        </row>
        <row r="81">
          <cell r="B81">
            <v>1520</v>
          </cell>
          <cell r="C81" t="str">
            <v>NCR</v>
          </cell>
          <cell r="D81" t="str">
            <v>Assets Shifting</v>
          </cell>
          <cell r="E81" t="str">
            <v>DELON332</v>
          </cell>
          <cell r="F81">
            <v>45782</v>
          </cell>
          <cell r="G81" t="str">
            <v>SSS/2025-26/027</v>
          </cell>
          <cell r="H81" t="str">
            <v>Str8 &amp; Secure Services</v>
          </cell>
          <cell r="I81" t="str">
            <v>AQIPG2144B</v>
          </cell>
          <cell r="J81" t="str">
            <v>07AQIPG2144B1ZF</v>
          </cell>
          <cell r="K81" t="str">
            <v>Ground Floor,Shop No G-7,Meridian View,SCO,Plot No E2,ACB,Greater Noida,Utter Pradesh-201308</v>
          </cell>
          <cell r="L81" t="str">
            <v>Uttar Pradesh</v>
          </cell>
          <cell r="M81" t="str">
            <v>S-2/1, EPIP, Surajpur Industrial Area, Kasna, Greater Noida, Uttar Pradesh - 210310</v>
          </cell>
          <cell r="N81" t="str">
            <v>Uttar Pradesh</v>
          </cell>
          <cell r="O81" t="str">
            <v>Assets Shifting</v>
          </cell>
          <cell r="P81">
            <v>6000</v>
          </cell>
          <cell r="Q81">
            <v>0</v>
          </cell>
          <cell r="R81">
            <v>0</v>
          </cell>
          <cell r="S81">
            <v>0</v>
          </cell>
          <cell r="T81">
            <v>1080</v>
          </cell>
          <cell r="U81">
            <v>0</v>
          </cell>
          <cell r="V81">
            <v>7080</v>
          </cell>
          <cell r="W81">
            <v>120</v>
          </cell>
          <cell r="X81">
            <v>0.02</v>
          </cell>
          <cell r="Y81">
            <v>6960</v>
          </cell>
          <cell r="Z81">
            <v>6960</v>
          </cell>
          <cell r="AC81">
            <v>0</v>
          </cell>
          <cell r="AD81">
            <v>6960</v>
          </cell>
          <cell r="AE81">
            <v>45856</v>
          </cell>
          <cell r="AF81" t="str">
            <v>YESMS51990261461</v>
          </cell>
          <cell r="AJ81">
            <v>6000</v>
          </cell>
        </row>
        <row r="82">
          <cell r="B82">
            <v>1521</v>
          </cell>
          <cell r="C82" t="str">
            <v>NCR</v>
          </cell>
          <cell r="D82" t="str">
            <v>Assets Shifting</v>
          </cell>
          <cell r="E82" t="str">
            <v>GHZON490</v>
          </cell>
          <cell r="F82">
            <v>45782</v>
          </cell>
          <cell r="G82" t="str">
            <v>SSS/2025-26/027</v>
          </cell>
          <cell r="H82" t="str">
            <v>Str8 &amp; Secure Services</v>
          </cell>
          <cell r="I82" t="str">
            <v>AQIPG2144B</v>
          </cell>
          <cell r="J82" t="str">
            <v>07AQIPG2144B1ZF</v>
          </cell>
          <cell r="K82" t="str">
            <v>Ground Floor, Shop No. 2, Windsor Park, 5 Vaibhav Khand, Indrapuram, Ghaziabad – 201010</v>
          </cell>
          <cell r="L82" t="str">
            <v>Uttar Pradesh</v>
          </cell>
          <cell r="M82" t="str">
            <v>Kotak Mahindra Bank LTD,Ground Floor, GF-42, Millanium Place, Sushant Golf City, Shaheed Path, Muzaffar Nagar Ghusval, Lucknow – 226 030. Uttar Pradesh</v>
          </cell>
          <cell r="N82" t="str">
            <v>Uttar Pradesh</v>
          </cell>
          <cell r="O82" t="str">
            <v>Assets Shifting</v>
          </cell>
          <cell r="P82">
            <v>13800</v>
          </cell>
          <cell r="Q82">
            <v>0</v>
          </cell>
          <cell r="R82">
            <v>0</v>
          </cell>
          <cell r="S82">
            <v>0</v>
          </cell>
          <cell r="T82">
            <v>2484</v>
          </cell>
          <cell r="U82">
            <v>0</v>
          </cell>
          <cell r="V82">
            <v>16284</v>
          </cell>
          <cell r="W82">
            <v>276</v>
          </cell>
          <cell r="X82">
            <v>0.02</v>
          </cell>
          <cell r="Y82">
            <v>16008</v>
          </cell>
          <cell r="Z82">
            <v>16008</v>
          </cell>
          <cell r="AC82">
            <v>0</v>
          </cell>
          <cell r="AD82">
            <v>16008</v>
          </cell>
          <cell r="AE82">
            <v>45856</v>
          </cell>
          <cell r="AF82" t="str">
            <v>YESMS51990261461</v>
          </cell>
          <cell r="AJ82">
            <v>13800</v>
          </cell>
        </row>
        <row r="83">
          <cell r="B83">
            <v>1524</v>
          </cell>
          <cell r="C83" t="str">
            <v>NCR</v>
          </cell>
          <cell r="D83" t="str">
            <v>Assets Shifting</v>
          </cell>
          <cell r="E83" t="str">
            <v>DELON610</v>
          </cell>
          <cell r="F83">
            <v>45782</v>
          </cell>
          <cell r="G83" t="str">
            <v>SSS/2025-26/027</v>
          </cell>
          <cell r="H83" t="str">
            <v>Str8 &amp; Secure Services</v>
          </cell>
          <cell r="I83" t="str">
            <v>AQIPG2144B</v>
          </cell>
          <cell r="J83" t="str">
            <v>07AQIPG2144B1ZF</v>
          </cell>
          <cell r="K83" t="str">
            <v>Ground Floor, Shop No. 19, Sushant Vyapar Kendra, Sushant Lok – I, Gurugram 122002</v>
          </cell>
          <cell r="L83" t="str">
            <v>Haryana</v>
          </cell>
          <cell r="M83" t="str">
            <v>Scf-51, New Grain Market, Shri Muktsar Sahib, Muktsar-152026, Muktsar Dist (Punjab)</v>
          </cell>
          <cell r="N83" t="str">
            <v>Punjab</v>
          </cell>
          <cell r="O83" t="str">
            <v>Assets Shifting</v>
          </cell>
          <cell r="P83">
            <v>13500</v>
          </cell>
          <cell r="Q83">
            <v>0</v>
          </cell>
          <cell r="R83">
            <v>0</v>
          </cell>
          <cell r="S83">
            <v>0</v>
          </cell>
          <cell r="T83">
            <v>2430</v>
          </cell>
          <cell r="U83">
            <v>0</v>
          </cell>
          <cell r="V83">
            <v>15930</v>
          </cell>
          <cell r="W83">
            <v>270</v>
          </cell>
          <cell r="X83">
            <v>0.02</v>
          </cell>
          <cell r="Y83">
            <v>15660</v>
          </cell>
          <cell r="Z83">
            <v>15660</v>
          </cell>
          <cell r="AC83">
            <v>0</v>
          </cell>
          <cell r="AD83">
            <v>15660</v>
          </cell>
          <cell r="AE83">
            <v>45856</v>
          </cell>
          <cell r="AF83" t="str">
            <v>YESMS51990261461</v>
          </cell>
          <cell r="AJ83">
            <v>13500</v>
          </cell>
        </row>
        <row r="84">
          <cell r="B84">
            <v>1558</v>
          </cell>
          <cell r="C84" t="str">
            <v>NCR</v>
          </cell>
          <cell r="D84" t="str">
            <v>Assets Shifting</v>
          </cell>
          <cell r="E84" t="str">
            <v>DLBW1193</v>
          </cell>
          <cell r="F84">
            <v>45782</v>
          </cell>
          <cell r="G84" t="str">
            <v>SSS/2025-26/027</v>
          </cell>
          <cell r="H84" t="str">
            <v>Str8 &amp; Secure Services</v>
          </cell>
          <cell r="I84" t="str">
            <v>AQIPG2144B</v>
          </cell>
          <cell r="J84" t="str">
            <v>07AQIPG2144B1ZF</v>
          </cell>
          <cell r="K84" t="str">
            <v>Kotak Mahindra Bank; B &amp; B-1 “Enkay Tower”, Vanijya Nikunj, Phase V, Gurugram, Haryana. Pin Code - 122016</v>
          </cell>
          <cell r="L84" t="str">
            <v>Haryana</v>
          </cell>
          <cell r="M84" t="str">
            <v>Kotak Mahindra Bank; B &amp; B-1 “Enkay Tower”, Vanijya Nikunj, Phase V, Gurugram, Haryana. Pin Code - 122016</v>
          </cell>
          <cell r="N84" t="str">
            <v>Haryana</v>
          </cell>
          <cell r="O84" t="str">
            <v>Assets Shifting</v>
          </cell>
          <cell r="P84">
            <v>3500</v>
          </cell>
          <cell r="Q84">
            <v>0</v>
          </cell>
          <cell r="R84">
            <v>0</v>
          </cell>
          <cell r="S84">
            <v>0</v>
          </cell>
          <cell r="T84">
            <v>630</v>
          </cell>
          <cell r="U84">
            <v>0</v>
          </cell>
          <cell r="V84">
            <v>4130</v>
          </cell>
          <cell r="W84">
            <v>70</v>
          </cell>
          <cell r="X84">
            <v>0.02</v>
          </cell>
          <cell r="Y84">
            <v>4060</v>
          </cell>
          <cell r="Z84">
            <v>4060</v>
          </cell>
          <cell r="AC84">
            <v>0</v>
          </cell>
          <cell r="AD84">
            <v>4060</v>
          </cell>
          <cell r="AE84">
            <v>45856</v>
          </cell>
          <cell r="AF84" t="str">
            <v>YESMS51990261461</v>
          </cell>
          <cell r="AJ84">
            <v>3500</v>
          </cell>
        </row>
        <row r="85">
          <cell r="B85">
            <v>1566</v>
          </cell>
          <cell r="C85" t="str">
            <v>NCR</v>
          </cell>
          <cell r="D85" t="str">
            <v>Assets Shifting</v>
          </cell>
          <cell r="E85" t="str">
            <v>6FAZADNA01</v>
          </cell>
          <cell r="F85">
            <v>45782</v>
          </cell>
          <cell r="G85" t="str">
            <v>SSS/2025-26/027</v>
          </cell>
          <cell r="H85" t="str">
            <v>Str8 &amp; Secure Services</v>
          </cell>
          <cell r="I85" t="str">
            <v>AQIPG2144B</v>
          </cell>
          <cell r="J85" t="str">
            <v>07AQIPG2144B1ZF</v>
          </cell>
          <cell r="K85" t="str">
            <v>AZADNA  2(A)  411 (A-1)  Ajad Nagar  Kanpur  UP  Pin-208002</v>
          </cell>
          <cell r="L85" t="str">
            <v>Uttar Pradesh</v>
          </cell>
          <cell r="M85" t="str">
            <v>77/1 Manas Vihar Infront of Tiwari Sweets Kanpur - 208010</v>
          </cell>
          <cell r="N85" t="str">
            <v>Uttar Pradesh</v>
          </cell>
          <cell r="O85" t="str">
            <v>Assets Shifting</v>
          </cell>
          <cell r="P85">
            <v>7500</v>
          </cell>
          <cell r="Q85">
            <v>0</v>
          </cell>
          <cell r="R85">
            <v>0</v>
          </cell>
          <cell r="S85">
            <v>0</v>
          </cell>
          <cell r="T85">
            <v>1350</v>
          </cell>
          <cell r="U85">
            <v>0</v>
          </cell>
          <cell r="V85">
            <v>8850</v>
          </cell>
          <cell r="W85">
            <v>150</v>
          </cell>
          <cell r="X85">
            <v>0.02</v>
          </cell>
          <cell r="Y85">
            <v>8700</v>
          </cell>
          <cell r="Z85">
            <v>8700</v>
          </cell>
          <cell r="AC85">
            <v>0</v>
          </cell>
          <cell r="AD85">
            <v>8700</v>
          </cell>
          <cell r="AE85">
            <v>45856</v>
          </cell>
          <cell r="AF85" t="str">
            <v>YESMS51990261461</v>
          </cell>
          <cell r="AJ85">
            <v>7500</v>
          </cell>
        </row>
        <row r="86">
          <cell r="B86">
            <v>1567</v>
          </cell>
          <cell r="C86" t="str">
            <v>NCR</v>
          </cell>
          <cell r="D86" t="str">
            <v>Assets Shifting</v>
          </cell>
          <cell r="E86" t="str">
            <v>6FAZADNA01</v>
          </cell>
          <cell r="F86">
            <v>45782</v>
          </cell>
          <cell r="G86" t="str">
            <v>SSS/2025-26/031</v>
          </cell>
          <cell r="H86" t="str">
            <v>Str8 &amp; Secure Services</v>
          </cell>
          <cell r="I86" t="str">
            <v>AQIPG2144B</v>
          </cell>
          <cell r="J86" t="str">
            <v>07AQIPG2144B1ZF</v>
          </cell>
          <cell r="K86" t="str">
            <v>AZADNA  2(A)  411 (A-1)  Ajad Nagar  Kanpur  UP  Pin-208002</v>
          </cell>
          <cell r="L86" t="str">
            <v>Uttar Pradesh</v>
          </cell>
          <cell r="M86" t="str">
            <v>Senior Solutions Ghaziabad WH</v>
          </cell>
          <cell r="N86" t="str">
            <v>Uttar Pradesh</v>
          </cell>
          <cell r="O86" t="str">
            <v>Assets Shifting</v>
          </cell>
          <cell r="P86">
            <v>5000</v>
          </cell>
          <cell r="Q86">
            <v>0</v>
          </cell>
          <cell r="R86">
            <v>0</v>
          </cell>
          <cell r="S86">
            <v>0</v>
          </cell>
          <cell r="T86">
            <v>900</v>
          </cell>
          <cell r="U86">
            <v>0</v>
          </cell>
          <cell r="V86">
            <v>5900</v>
          </cell>
          <cell r="W86">
            <v>100</v>
          </cell>
          <cell r="X86">
            <v>0.02</v>
          </cell>
          <cell r="Y86">
            <v>5800</v>
          </cell>
          <cell r="Z86">
            <v>5800</v>
          </cell>
          <cell r="AC86">
            <v>0</v>
          </cell>
          <cell r="AD86">
            <v>5800</v>
          </cell>
          <cell r="AE86">
            <v>45856</v>
          </cell>
          <cell r="AF86" t="str">
            <v>YESMS51990261461</v>
          </cell>
          <cell r="AJ86">
            <v>5000</v>
          </cell>
        </row>
        <row r="87">
          <cell r="B87">
            <v>1560</v>
          </cell>
          <cell r="C87" t="str">
            <v>NCR</v>
          </cell>
          <cell r="D87" t="str">
            <v>Assets Shifting</v>
          </cell>
          <cell r="E87" t="str">
            <v>UPBN3025</v>
          </cell>
          <cell r="F87">
            <v>45782</v>
          </cell>
          <cell r="G87" t="str">
            <v>SSS/2025-26/033</v>
          </cell>
          <cell r="H87" t="str">
            <v>Str8 &amp; Secure Services</v>
          </cell>
          <cell r="I87" t="str">
            <v>AQIPG2144B</v>
          </cell>
          <cell r="J87" t="str">
            <v>07AQIPG2144B1ZF</v>
          </cell>
          <cell r="K87" t="str">
            <v>Kotak Mahindra Bank LTD,Ground Floor, GF-42, Millanium Place, Sushant Golf City, Shaheed Path, Muzaffar Nagar Ghusval, Lucknow – 226 030. Uttar Pradesh</v>
          </cell>
          <cell r="L87" t="str">
            <v>Uttar Pradesh</v>
          </cell>
          <cell r="M87" t="str">
            <v>Kotak Mahindra Bank LTD,Ground Floor, GF-42, Millanium Place, Sushant Golf City, Shaheed Path, Muzaffar Nagar Ghusval, Lucknow – 226 030. Uttar Pradesh</v>
          </cell>
          <cell r="N87" t="str">
            <v>Uttar Pradesh</v>
          </cell>
          <cell r="O87" t="str">
            <v>Assets Shifting</v>
          </cell>
          <cell r="P87">
            <v>1500</v>
          </cell>
          <cell r="Q87">
            <v>0</v>
          </cell>
          <cell r="R87">
            <v>0</v>
          </cell>
          <cell r="S87">
            <v>0</v>
          </cell>
          <cell r="T87">
            <v>270</v>
          </cell>
          <cell r="U87">
            <v>0</v>
          </cell>
          <cell r="V87">
            <v>1770</v>
          </cell>
          <cell r="W87">
            <v>30</v>
          </cell>
          <cell r="X87">
            <v>0.02</v>
          </cell>
          <cell r="Y87">
            <v>1740</v>
          </cell>
          <cell r="Z87">
            <v>1740</v>
          </cell>
          <cell r="AC87">
            <v>0</v>
          </cell>
          <cell r="AD87">
            <v>1740</v>
          </cell>
          <cell r="AE87">
            <v>45856</v>
          </cell>
          <cell r="AF87" t="str">
            <v>YESMS51990261461</v>
          </cell>
          <cell r="AJ87">
            <v>1500</v>
          </cell>
        </row>
        <row r="88">
          <cell r="B88">
            <v>1556</v>
          </cell>
          <cell r="C88" t="str">
            <v>NCR</v>
          </cell>
          <cell r="D88" t="str">
            <v>Assets Shifting</v>
          </cell>
          <cell r="E88" t="str">
            <v>UPON3016</v>
          </cell>
          <cell r="F88">
            <v>45782</v>
          </cell>
          <cell r="G88" t="str">
            <v>SSS/2025-26/033</v>
          </cell>
          <cell r="H88" t="str">
            <v>Str8 &amp; Secure Services</v>
          </cell>
          <cell r="I88" t="str">
            <v>AQIPG2144B</v>
          </cell>
          <cell r="J88" t="str">
            <v>07AQIPG2144B1ZF</v>
          </cell>
          <cell r="K88" t="str">
            <v>S-2/1, EPIP, Surajpur Industrial Area, Kasna, Greater Noida, Uttar Pradesh - 210310</v>
          </cell>
          <cell r="L88" t="str">
            <v>Uttar Pradesh</v>
          </cell>
          <cell r="M88" t="str">
            <v>S-2/1, EPIP, Surajpur Industrial Area, Kasna, Greater Noida, Uttar Pradesh - 210310</v>
          </cell>
          <cell r="N88" t="str">
            <v>Uttar Pradesh</v>
          </cell>
          <cell r="O88" t="str">
            <v>Assets Shifting</v>
          </cell>
          <cell r="P88">
            <v>1500</v>
          </cell>
          <cell r="Q88">
            <v>0</v>
          </cell>
          <cell r="R88">
            <v>0</v>
          </cell>
          <cell r="S88">
            <v>0</v>
          </cell>
          <cell r="T88">
            <v>270</v>
          </cell>
          <cell r="U88">
            <v>0</v>
          </cell>
          <cell r="V88">
            <v>1770</v>
          </cell>
          <cell r="W88">
            <v>30</v>
          </cell>
          <cell r="X88">
            <v>0.02</v>
          </cell>
          <cell r="Y88">
            <v>1740</v>
          </cell>
          <cell r="Z88">
            <v>1740</v>
          </cell>
          <cell r="AC88">
            <v>0</v>
          </cell>
          <cell r="AD88">
            <v>1740</v>
          </cell>
          <cell r="AE88">
            <v>45856</v>
          </cell>
          <cell r="AF88" t="str">
            <v>YESMS51990261461</v>
          </cell>
          <cell r="AJ88">
            <v>1500</v>
          </cell>
        </row>
        <row r="89">
          <cell r="B89">
            <v>1577</v>
          </cell>
          <cell r="C89" t="str">
            <v>NCR</v>
          </cell>
          <cell r="D89" t="str">
            <v>Assets Shifting</v>
          </cell>
          <cell r="E89" t="str">
            <v>PBBN3038</v>
          </cell>
          <cell r="F89">
            <v>45782</v>
          </cell>
          <cell r="G89" t="str">
            <v>SSS/2025-26/027</v>
          </cell>
          <cell r="H89" t="str">
            <v>Str8 &amp; Secure Services</v>
          </cell>
          <cell r="I89" t="str">
            <v>AQIPG2144B</v>
          </cell>
          <cell r="J89" t="str">
            <v>07AQIPG2144B1ZF</v>
          </cell>
          <cell r="K89" t="str">
            <v>Scf-51, New Grain Market, Shri Muktsar Sahib, Muktsar-152026, Muktsar Dist (Punjab)</v>
          </cell>
          <cell r="L89" t="str">
            <v>Punjab</v>
          </cell>
          <cell r="M89" t="str">
            <v>Scf-51, New Grain Market, Shri Muktsar Sahib, Muktsar-152026, Muktsar Dist (Punjab)</v>
          </cell>
          <cell r="N89" t="str">
            <v>Punjab</v>
          </cell>
          <cell r="O89" t="str">
            <v>Assets Shifting</v>
          </cell>
          <cell r="P89">
            <v>3500</v>
          </cell>
          <cell r="Q89">
            <v>0</v>
          </cell>
          <cell r="R89">
            <v>0</v>
          </cell>
          <cell r="S89">
            <v>0</v>
          </cell>
          <cell r="T89">
            <v>630</v>
          </cell>
          <cell r="U89">
            <v>0</v>
          </cell>
          <cell r="V89">
            <v>4130</v>
          </cell>
          <cell r="W89">
            <v>70</v>
          </cell>
          <cell r="X89">
            <v>0.02</v>
          </cell>
          <cell r="Y89">
            <v>4060</v>
          </cell>
          <cell r="Z89">
            <v>4060</v>
          </cell>
          <cell r="AC89">
            <v>0</v>
          </cell>
          <cell r="AD89">
            <v>4060</v>
          </cell>
          <cell r="AE89">
            <v>45856</v>
          </cell>
          <cell r="AF89" t="str">
            <v>YESMS51990261461</v>
          </cell>
          <cell r="AJ89">
            <v>3500</v>
          </cell>
        </row>
        <row r="90">
          <cell r="B90">
            <v>1570</v>
          </cell>
          <cell r="C90" t="str">
            <v>Hitachi</v>
          </cell>
          <cell r="D90" t="str">
            <v>Assets Shifting</v>
          </cell>
          <cell r="E90" t="str">
            <v>MCRM8252</v>
          </cell>
          <cell r="F90">
            <v>45782</v>
          </cell>
          <cell r="G90" t="str">
            <v>SSS/2025-26/021</v>
          </cell>
          <cell r="H90" t="str">
            <v>Str8 &amp; Secure Services</v>
          </cell>
          <cell r="I90" t="str">
            <v>AQIPG2144B</v>
          </cell>
          <cell r="J90" t="str">
            <v>07AQIPG2144B1ZF</v>
          </cell>
          <cell r="K90" t="str">
            <v>BANSAL STATIONARY HUB MODEL TOWN PHASE 2 BATHINDA</v>
          </cell>
          <cell r="L90" t="str">
            <v>Punjab</v>
          </cell>
          <cell r="M90" t="str">
            <v>House No.-32, Nahri Ka Naka, Shastri Nagar, Jiapur, Rajasthan, Pin Code-302016</v>
          </cell>
          <cell r="N90" t="str">
            <v>Rajasthan</v>
          </cell>
          <cell r="O90" t="str">
            <v>Assets Shifting</v>
          </cell>
          <cell r="P90">
            <v>15000</v>
          </cell>
          <cell r="Q90">
            <v>0</v>
          </cell>
          <cell r="R90">
            <v>0</v>
          </cell>
          <cell r="S90">
            <v>0</v>
          </cell>
          <cell r="T90">
            <v>2700</v>
          </cell>
          <cell r="U90">
            <v>0</v>
          </cell>
          <cell r="V90">
            <v>17700</v>
          </cell>
          <cell r="W90">
            <v>300</v>
          </cell>
          <cell r="X90">
            <v>0.02</v>
          </cell>
          <cell r="Y90">
            <v>17400</v>
          </cell>
          <cell r="Z90">
            <v>17400</v>
          </cell>
          <cell r="AC90">
            <v>0</v>
          </cell>
          <cell r="AD90">
            <v>17400</v>
          </cell>
          <cell r="AE90">
            <v>45856</v>
          </cell>
          <cell r="AF90" t="str">
            <v>YESMS51990261461</v>
          </cell>
          <cell r="AJ90">
            <v>15000</v>
          </cell>
        </row>
        <row r="91">
          <cell r="B91">
            <v>1571</v>
          </cell>
          <cell r="C91" t="str">
            <v>Hitachi</v>
          </cell>
          <cell r="D91" t="str">
            <v>Assets Shifting</v>
          </cell>
          <cell r="E91" t="str">
            <v>MCRM8252</v>
          </cell>
          <cell r="F91">
            <v>45782</v>
          </cell>
          <cell r="G91" t="str">
            <v>SSS/2025-26/021</v>
          </cell>
          <cell r="H91" t="str">
            <v>Str8 &amp; Secure Services</v>
          </cell>
          <cell r="I91" t="str">
            <v>AQIPG2144B</v>
          </cell>
          <cell r="J91" t="str">
            <v>07AQIPG2144B1ZF</v>
          </cell>
          <cell r="K91" t="str">
            <v>BANSAL STATIONARY HUB MODEL TOWN PHASE 2 BATHINDA</v>
          </cell>
          <cell r="L91" t="str">
            <v>Punjab</v>
          </cell>
          <cell r="M91" t="str">
            <v>Plot no 123, Sector 56 Phase IV, Industrial estate, kundli sonipat, sonipat, Haryana, 131028</v>
          </cell>
          <cell r="N91" t="str">
            <v>Haryana</v>
          </cell>
          <cell r="O91" t="str">
            <v>Assets Shifting</v>
          </cell>
          <cell r="P91">
            <v>7000</v>
          </cell>
          <cell r="Q91">
            <v>0</v>
          </cell>
          <cell r="R91">
            <v>0</v>
          </cell>
          <cell r="S91">
            <v>0</v>
          </cell>
          <cell r="T91">
            <v>1260</v>
          </cell>
          <cell r="U91">
            <v>0</v>
          </cell>
          <cell r="V91">
            <v>8260</v>
          </cell>
          <cell r="W91">
            <v>140</v>
          </cell>
          <cell r="X91">
            <v>0.02</v>
          </cell>
          <cell r="Y91">
            <v>8120</v>
          </cell>
          <cell r="Z91">
            <v>8120</v>
          </cell>
          <cell r="AC91">
            <v>0</v>
          </cell>
          <cell r="AD91">
            <v>8120</v>
          </cell>
          <cell r="AE91">
            <v>45856</v>
          </cell>
          <cell r="AF91" t="str">
            <v>YESMS51990261461</v>
          </cell>
          <cell r="AJ91">
            <v>7000</v>
          </cell>
        </row>
        <row r="92">
          <cell r="B92">
            <v>1560</v>
          </cell>
          <cell r="C92" t="str">
            <v>NCR</v>
          </cell>
          <cell r="D92" t="str">
            <v>Assets Shifting</v>
          </cell>
          <cell r="E92" t="str">
            <v>UPBN3025</v>
          </cell>
          <cell r="F92">
            <v>45782</v>
          </cell>
          <cell r="G92" t="str">
            <v>SSS/2025-26/027</v>
          </cell>
          <cell r="H92" t="str">
            <v>Str8 &amp; Secure Services</v>
          </cell>
          <cell r="I92" t="str">
            <v>AQIPG2144B</v>
          </cell>
          <cell r="J92" t="str">
            <v>07AQIPG2144B1ZF</v>
          </cell>
          <cell r="K92" t="str">
            <v>Kotak Mahindra Bank LTD,Ground Floor, GF-42, Millanium Place, Sushant Golf City, Shaheed Path, Muzaffar Nagar Ghusval, Lucknow – 226 030. Uttar Pradesh</v>
          </cell>
          <cell r="L92" t="str">
            <v>Uttar Pradesh</v>
          </cell>
          <cell r="M92" t="str">
            <v>Kotak Mahindra Bank LTD,Ground Floor, GF-42, Millanium Place, Sushant Golf City, Shaheed Path, Muzaffar Nagar Ghusval, Lucknow – 226 030. Uttar Pradesh</v>
          </cell>
          <cell r="N92" t="str">
            <v>Uttar Pradesh</v>
          </cell>
          <cell r="O92" t="str">
            <v>Assets Shifting</v>
          </cell>
          <cell r="P92">
            <v>3500</v>
          </cell>
          <cell r="Q92">
            <v>0</v>
          </cell>
          <cell r="R92">
            <v>0</v>
          </cell>
          <cell r="S92">
            <v>0</v>
          </cell>
          <cell r="T92">
            <v>630</v>
          </cell>
          <cell r="U92">
            <v>0</v>
          </cell>
          <cell r="V92">
            <v>4130</v>
          </cell>
          <cell r="W92">
            <v>70</v>
          </cell>
          <cell r="X92">
            <v>0.02</v>
          </cell>
          <cell r="Y92">
            <v>4060</v>
          </cell>
          <cell r="Z92">
            <v>4060</v>
          </cell>
          <cell r="AC92">
            <v>0</v>
          </cell>
          <cell r="AD92">
            <v>4060</v>
          </cell>
          <cell r="AE92">
            <v>45856</v>
          </cell>
          <cell r="AF92" t="str">
            <v>YESMS51990261461</v>
          </cell>
          <cell r="AJ92">
            <v>3500</v>
          </cell>
        </row>
        <row r="93">
          <cell r="B93">
            <v>1556</v>
          </cell>
          <cell r="C93" t="str">
            <v>NCR</v>
          </cell>
          <cell r="D93" t="str">
            <v>Assets Shifting</v>
          </cell>
          <cell r="E93" t="str">
            <v>UPON3016</v>
          </cell>
          <cell r="F93">
            <v>45782</v>
          </cell>
          <cell r="G93" t="str">
            <v>SSS/2025-26/027</v>
          </cell>
          <cell r="H93" t="str">
            <v>Str8 &amp; Secure Services</v>
          </cell>
          <cell r="I93" t="str">
            <v>AQIPG2144B</v>
          </cell>
          <cell r="J93" t="str">
            <v>07AQIPG2144B1ZF</v>
          </cell>
          <cell r="K93" t="str">
            <v>S-2/1, EPIP, Surajpur Industrial Area, Kasna, Greater Noida, Uttar Pradesh - 210310</v>
          </cell>
          <cell r="L93" t="str">
            <v>Uttar Pradesh</v>
          </cell>
          <cell r="M93" t="str">
            <v>S-2/1, EPIP, Surajpur Industrial Area, Kasna, Greater Noida, Uttar Pradesh - 210310</v>
          </cell>
          <cell r="N93" t="str">
            <v>Uttar Pradesh</v>
          </cell>
          <cell r="O93" t="str">
            <v>Assets Shifting</v>
          </cell>
          <cell r="P93">
            <v>3500</v>
          </cell>
          <cell r="Q93">
            <v>0</v>
          </cell>
          <cell r="R93">
            <v>0</v>
          </cell>
          <cell r="S93">
            <v>0</v>
          </cell>
          <cell r="T93">
            <v>630</v>
          </cell>
          <cell r="U93">
            <v>0</v>
          </cell>
          <cell r="V93">
            <v>4130</v>
          </cell>
          <cell r="W93">
            <v>70</v>
          </cell>
          <cell r="X93">
            <v>0.02</v>
          </cell>
          <cell r="Y93">
            <v>4060</v>
          </cell>
          <cell r="Z93">
            <v>4060</v>
          </cell>
          <cell r="AC93">
            <v>0</v>
          </cell>
          <cell r="AD93">
            <v>4060</v>
          </cell>
          <cell r="AE93">
            <v>45856</v>
          </cell>
          <cell r="AF93" t="str">
            <v>YESMS51990261461</v>
          </cell>
          <cell r="AJ93">
            <v>3500</v>
          </cell>
        </row>
        <row r="94">
          <cell r="B94">
            <v>1654</v>
          </cell>
          <cell r="C94" t="str">
            <v>Hitachi</v>
          </cell>
          <cell r="D94" t="str">
            <v>Assets Shifting</v>
          </cell>
          <cell r="E94" t="str">
            <v>MCRM8545</v>
          </cell>
          <cell r="F94">
            <v>45782</v>
          </cell>
          <cell r="G94" t="str">
            <v>SSS/2025-26/026</v>
          </cell>
          <cell r="H94" t="str">
            <v>Str8 &amp; Secure Services</v>
          </cell>
          <cell r="I94" t="str">
            <v>AQIPG2144B</v>
          </cell>
          <cell r="J94" t="str">
            <v>07AQIPG2144B1ZF</v>
          </cell>
          <cell r="K94" t="str">
            <v>MOTA KACHHABA, MUJPUR,PATAN,GUJARAT-384241</v>
          </cell>
          <cell r="L94" t="str">
            <v>Gujarat</v>
          </cell>
          <cell r="M94" t="str">
            <v>Kishore Bagai Transport, l-2 Jai Mata Di Compound , 2nd left next to Hetvi Textile, Kalher Bhiwandi, Maharashtra - 421302</v>
          </cell>
          <cell r="N94" t="str">
            <v>Maharashtra</v>
          </cell>
          <cell r="O94" t="str">
            <v>Assets Shifting</v>
          </cell>
          <cell r="P94">
            <v>2000</v>
          </cell>
          <cell r="Q94">
            <v>0</v>
          </cell>
          <cell r="R94">
            <v>0</v>
          </cell>
          <cell r="S94">
            <v>0</v>
          </cell>
          <cell r="T94">
            <v>360</v>
          </cell>
          <cell r="U94">
            <v>0</v>
          </cell>
          <cell r="V94">
            <v>2360</v>
          </cell>
          <cell r="W94">
            <v>40</v>
          </cell>
          <cell r="X94">
            <v>0.02</v>
          </cell>
          <cell r="Y94">
            <v>2320</v>
          </cell>
          <cell r="Z94">
            <v>2320</v>
          </cell>
          <cell r="AC94">
            <v>0</v>
          </cell>
          <cell r="AD94">
            <v>2320</v>
          </cell>
          <cell r="AE94">
            <v>45856</v>
          </cell>
          <cell r="AF94" t="str">
            <v>YESMS51990261461</v>
          </cell>
          <cell r="AJ94">
            <v>2000</v>
          </cell>
        </row>
        <row r="95">
          <cell r="B95">
            <v>1652</v>
          </cell>
          <cell r="C95" t="str">
            <v>Hitachi</v>
          </cell>
          <cell r="D95" t="str">
            <v>Assets Shifting</v>
          </cell>
          <cell r="E95" t="str">
            <v>MCRM5915</v>
          </cell>
          <cell r="F95">
            <v>45782</v>
          </cell>
          <cell r="G95" t="str">
            <v>SSS/2025-26/023</v>
          </cell>
          <cell r="H95" t="str">
            <v>Str8 &amp; Secure Services</v>
          </cell>
          <cell r="I95" t="str">
            <v>AQIPG2144B</v>
          </cell>
          <cell r="J95" t="str">
            <v>07AQIPG2144B1ZF</v>
          </cell>
          <cell r="K95" t="str">
            <v>HARSH COMMUNICATION,HARSH RAJENDRA SHAH, NEAR HIGH SCHOOL, AT  and  PO ADADRA,TALUKA-KALOL,DISTRICT-PANCHMAHAL,GUJRAT, PIN CODE- 389341</v>
          </cell>
          <cell r="L95" t="str">
            <v>Gujarat</v>
          </cell>
          <cell r="M95" t="str">
            <v>Kishore Bagai Transport, l-2 Jai Mata Di Compound , 2nd left next to Hetvi Textile, Kalher Bhiwandi, Maharashtra - 421302</v>
          </cell>
          <cell r="N95" t="str">
            <v>Maharashtra</v>
          </cell>
          <cell r="O95" t="str">
            <v>Assets Shifting</v>
          </cell>
          <cell r="P95">
            <v>21000</v>
          </cell>
          <cell r="Q95">
            <v>0</v>
          </cell>
          <cell r="R95">
            <v>0</v>
          </cell>
          <cell r="S95">
            <v>0</v>
          </cell>
          <cell r="T95">
            <v>3780</v>
          </cell>
          <cell r="U95">
            <v>0</v>
          </cell>
          <cell r="V95">
            <v>24780</v>
          </cell>
          <cell r="W95">
            <v>420</v>
          </cell>
          <cell r="X95">
            <v>0.02</v>
          </cell>
          <cell r="Y95">
            <v>24360</v>
          </cell>
          <cell r="Z95">
            <v>24360</v>
          </cell>
          <cell r="AC95">
            <v>0</v>
          </cell>
          <cell r="AD95">
            <v>24360</v>
          </cell>
          <cell r="AE95">
            <v>45856</v>
          </cell>
          <cell r="AF95" t="str">
            <v>YESMS51990261461</v>
          </cell>
          <cell r="AJ95">
            <v>21000</v>
          </cell>
        </row>
        <row r="96">
          <cell r="B96" t="str">
            <v>MF site</v>
          </cell>
          <cell r="C96" t="str">
            <v>U&amp;V</v>
          </cell>
          <cell r="D96" t="str">
            <v>Assets Shifting</v>
          </cell>
          <cell r="E96" t="str">
            <v>MPB01090</v>
          </cell>
          <cell r="F96">
            <v>45782</v>
          </cell>
          <cell r="G96" t="str">
            <v>SSS/2025-26/034</v>
          </cell>
          <cell r="H96" t="str">
            <v>Str8 &amp; Secure Services</v>
          </cell>
          <cell r="I96" t="str">
            <v>AQIPG2144B</v>
          </cell>
          <cell r="J96" t="str">
            <v>07AQIPG2144B1ZF</v>
          </cell>
          <cell r="K96" t="str">
            <v>SHOP NO.42,SIDDHI GANESH TOWNSHIP,OPP INDIAN OIL PETROL PUMP,SACHIN GIDC MAIN ROAD,SACHIN-394230</v>
          </cell>
          <cell r="L96" t="str">
            <v>Gujarat</v>
          </cell>
          <cell r="M96" t="str">
            <v>Room No. 103 AT Po Khadawali-  West Tal Kalyan , Thane Maharashtra 421301 </v>
          </cell>
          <cell r="N96" t="str">
            <v>Maharashtra</v>
          </cell>
          <cell r="O96" t="str">
            <v>Assets Shifting</v>
          </cell>
          <cell r="P96">
            <v>19000</v>
          </cell>
          <cell r="Q96">
            <v>0</v>
          </cell>
          <cell r="R96">
            <v>0</v>
          </cell>
          <cell r="S96">
            <v>0</v>
          </cell>
          <cell r="T96">
            <v>3420</v>
          </cell>
          <cell r="U96">
            <v>0</v>
          </cell>
          <cell r="V96">
            <v>22420</v>
          </cell>
          <cell r="W96">
            <v>380</v>
          </cell>
          <cell r="X96">
            <v>0.02</v>
          </cell>
          <cell r="Y96">
            <v>22040</v>
          </cell>
          <cell r="Z96">
            <v>18749</v>
          </cell>
          <cell r="AC96">
            <v>3291</v>
          </cell>
          <cell r="AD96">
            <v>18749</v>
          </cell>
          <cell r="AE96">
            <v>45856</v>
          </cell>
          <cell r="AF96" t="str">
            <v>YESMS51990261461</v>
          </cell>
          <cell r="AJ96">
            <v>19000</v>
          </cell>
        </row>
        <row r="97">
          <cell r="B97" t="str">
            <v>MF site</v>
          </cell>
          <cell r="C97" t="str">
            <v>U&amp;V</v>
          </cell>
          <cell r="D97" t="str">
            <v>Assets Shifting</v>
          </cell>
          <cell r="E97" t="str">
            <v>MPB01915</v>
          </cell>
          <cell r="F97">
            <v>45782</v>
          </cell>
          <cell r="G97" t="str">
            <v>SSS/2025-26/034</v>
          </cell>
          <cell r="H97" t="str">
            <v>Str8 &amp; Secure Services</v>
          </cell>
          <cell r="I97" t="str">
            <v>AQIPG2144B</v>
          </cell>
          <cell r="J97" t="str">
            <v>07AQIPG2144B1ZF</v>
          </cell>
          <cell r="K97" t="str">
            <v>SH 56, Near State Bank of India, Opp ST Stop, Shiv Shakti Society, Ambaji, Gujarat 385110</v>
          </cell>
          <cell r="L97" t="str">
            <v>Gujarat</v>
          </cell>
          <cell r="M97" t="str">
            <v>Siddharth nagar ,Ulhasnagar 58 Sreet no,Thane Maharashtra</v>
          </cell>
          <cell r="N97" t="str">
            <v>Maharashtra</v>
          </cell>
          <cell r="O97" t="str">
            <v>Assets Shifting</v>
          </cell>
          <cell r="P97">
            <v>19000</v>
          </cell>
          <cell r="Q97">
            <v>0</v>
          </cell>
          <cell r="R97">
            <v>0</v>
          </cell>
          <cell r="S97">
            <v>0</v>
          </cell>
          <cell r="T97">
            <v>3420</v>
          </cell>
          <cell r="U97">
            <v>0</v>
          </cell>
          <cell r="V97">
            <v>22420</v>
          </cell>
          <cell r="W97">
            <v>380</v>
          </cell>
          <cell r="X97">
            <v>0.02</v>
          </cell>
          <cell r="Y97">
            <v>22040</v>
          </cell>
          <cell r="AC97">
            <v>22040</v>
          </cell>
          <cell r="AJ97">
            <v>19000</v>
          </cell>
        </row>
        <row r="98">
          <cell r="B98" t="str">
            <v>MF site</v>
          </cell>
          <cell r="C98" t="str">
            <v>U&amp;V</v>
          </cell>
          <cell r="D98" t="str">
            <v>Assets Shifting</v>
          </cell>
          <cell r="E98" t="str">
            <v>MPB01754</v>
          </cell>
          <cell r="F98">
            <v>45782</v>
          </cell>
          <cell r="G98" t="str">
            <v>SSS/2025-26/034</v>
          </cell>
          <cell r="H98" t="str">
            <v>Str8 &amp; Secure Services</v>
          </cell>
          <cell r="I98" t="str">
            <v>AQIPG2144B</v>
          </cell>
          <cell r="J98" t="str">
            <v>07AQIPG2144B1ZF</v>
          </cell>
          <cell r="K98" t="str">
            <v>Shop No-10,B.K.Complex, Palanpur Ambaji Highway, Ratanpur Chokdi, Village - Ratanpur, Taluka- Danta, District - Banaskantha -385120</v>
          </cell>
          <cell r="L98" t="str">
            <v>Gujarat</v>
          </cell>
          <cell r="M98" t="str">
            <v>B.Kno 292/9, OT section ULHASNAGAR 2, 421002</v>
          </cell>
          <cell r="N98" t="str">
            <v>Maharashtra</v>
          </cell>
          <cell r="O98" t="str">
            <v>Assets Shifting</v>
          </cell>
          <cell r="P98">
            <v>19000</v>
          </cell>
          <cell r="Q98">
            <v>0</v>
          </cell>
          <cell r="R98">
            <v>0</v>
          </cell>
          <cell r="S98">
            <v>0</v>
          </cell>
          <cell r="T98">
            <v>3420</v>
          </cell>
          <cell r="U98">
            <v>0</v>
          </cell>
          <cell r="V98">
            <v>22420</v>
          </cell>
          <cell r="W98">
            <v>380</v>
          </cell>
          <cell r="X98">
            <v>0.02</v>
          </cell>
          <cell r="Y98">
            <v>22040</v>
          </cell>
          <cell r="AC98">
            <v>22040</v>
          </cell>
          <cell r="AJ98">
            <v>19000</v>
          </cell>
        </row>
        <row r="99">
          <cell r="B99">
            <v>1661</v>
          </cell>
          <cell r="C99" t="str">
            <v>NCR</v>
          </cell>
          <cell r="D99" t="str">
            <v>Assets Shifting</v>
          </cell>
          <cell r="E99" t="str">
            <v>1FNKAN43</v>
          </cell>
          <cell r="F99">
            <v>45782</v>
          </cell>
          <cell r="G99" t="str">
            <v>SSS/2025-26/033</v>
          </cell>
          <cell r="H99" t="str">
            <v>Str8 &amp; Secure Services</v>
          </cell>
          <cell r="I99" t="str">
            <v>AQIPG2144B</v>
          </cell>
          <cell r="J99" t="str">
            <v>07AQIPG2144B1ZF</v>
          </cell>
          <cell r="K99" t="str">
            <v>108/1 -3 P.Road Jareeb Chowki Chauraha Kanpur -208012</v>
          </cell>
          <cell r="L99" t="str">
            <v>Uttar Pradesh</v>
          </cell>
          <cell r="M99" t="str">
            <v>BARRAB  277A Z-1  C/0 NARSINGH CORNER  HEMANT VIHAR BARRA BYEPASS 1  DIST KANPUR  UP  PIN-208027</v>
          </cell>
          <cell r="N99" t="str">
            <v>Uttar Pradesh</v>
          </cell>
          <cell r="O99" t="str">
            <v>Assets Shifting</v>
          </cell>
          <cell r="P99">
            <v>2000</v>
          </cell>
          <cell r="Q99">
            <v>0</v>
          </cell>
          <cell r="R99">
            <v>0</v>
          </cell>
          <cell r="S99">
            <v>0</v>
          </cell>
          <cell r="T99">
            <v>360</v>
          </cell>
          <cell r="U99">
            <v>0</v>
          </cell>
          <cell r="V99">
            <v>2360</v>
          </cell>
          <cell r="W99">
            <v>40</v>
          </cell>
          <cell r="X99">
            <v>0.02</v>
          </cell>
          <cell r="Y99">
            <v>2320</v>
          </cell>
          <cell r="AC99">
            <v>2320</v>
          </cell>
          <cell r="AJ99">
            <v>2000</v>
          </cell>
        </row>
        <row r="100">
          <cell r="B100">
            <v>1662</v>
          </cell>
          <cell r="C100" t="str">
            <v>NCR</v>
          </cell>
          <cell r="D100" t="str">
            <v>Assets Shifting</v>
          </cell>
          <cell r="E100" t="str">
            <v>1FNKAN43</v>
          </cell>
          <cell r="F100">
            <v>45782</v>
          </cell>
          <cell r="G100" t="str">
            <v>SSS/2025-26/032</v>
          </cell>
          <cell r="H100" t="str">
            <v>Str8 &amp; Secure Services</v>
          </cell>
          <cell r="I100" t="str">
            <v>AQIPG2144B</v>
          </cell>
          <cell r="J100" t="str">
            <v>07AQIPG2144B1ZF</v>
          </cell>
          <cell r="K100" t="str">
            <v>108/1 -3 P.Road Jareeb Chowki Chauraha Kanpur -208012</v>
          </cell>
          <cell r="L100" t="str">
            <v>Uttar Pradesh</v>
          </cell>
          <cell r="M100" t="str">
            <v>SS WH - Ghaziabad - Balkishan Radha Enclave, Sabahaour Road, Inaam Vihar, Loni, Ghaziabad-201102</v>
          </cell>
          <cell r="N100" t="str">
            <v>Uttar Pradesh</v>
          </cell>
          <cell r="O100" t="str">
            <v>Assets Shifting</v>
          </cell>
          <cell r="P100">
            <v>5000</v>
          </cell>
          <cell r="Q100">
            <v>0</v>
          </cell>
          <cell r="R100">
            <v>0</v>
          </cell>
          <cell r="S100">
            <v>0</v>
          </cell>
          <cell r="T100">
            <v>900</v>
          </cell>
          <cell r="U100">
            <v>0</v>
          </cell>
          <cell r="V100">
            <v>5900</v>
          </cell>
          <cell r="W100">
            <v>100</v>
          </cell>
          <cell r="X100">
            <v>0.02</v>
          </cell>
          <cell r="Y100">
            <v>5800</v>
          </cell>
          <cell r="AC100">
            <v>5800</v>
          </cell>
          <cell r="AJ100">
            <v>5000</v>
          </cell>
        </row>
        <row r="101">
          <cell r="B101">
            <v>1659</v>
          </cell>
          <cell r="C101" t="str">
            <v>Hitachi</v>
          </cell>
          <cell r="D101" t="str">
            <v>Assets Shifting</v>
          </cell>
          <cell r="E101" t="str">
            <v>MPB01404</v>
          </cell>
          <cell r="F101">
            <v>45782</v>
          </cell>
          <cell r="G101" t="str">
            <v>SSS/2025-26/024</v>
          </cell>
          <cell r="H101" t="str">
            <v>Str8 &amp; Secure Services</v>
          </cell>
          <cell r="I101" t="str">
            <v>AQIPG2144B</v>
          </cell>
          <cell r="J101" t="str">
            <v>07AQIPG2144B1ZF</v>
          </cell>
          <cell r="K101" t="str">
            <v>Mahendra Pedhewala , Kapad Bazar MG Road, Nalegaon, Ahmednagar, Maharashtra 414001</v>
          </cell>
          <cell r="L101" t="str">
            <v>Maharashtra</v>
          </cell>
          <cell r="M101" t="str">
            <v>Plot no 123, Sector 56 Phase IV, Industrial estate, kundli sonipat, sonipat, Haryana, 131028</v>
          </cell>
          <cell r="N101" t="str">
            <v>Haryana</v>
          </cell>
          <cell r="O101" t="str">
            <v>Assets Shifting</v>
          </cell>
          <cell r="P101">
            <v>21000</v>
          </cell>
          <cell r="Q101">
            <v>0</v>
          </cell>
          <cell r="R101">
            <v>0</v>
          </cell>
          <cell r="S101">
            <v>0</v>
          </cell>
          <cell r="T101">
            <v>3780</v>
          </cell>
          <cell r="U101">
            <v>0</v>
          </cell>
          <cell r="V101">
            <v>24780</v>
          </cell>
          <cell r="W101">
            <v>420</v>
          </cell>
          <cell r="X101">
            <v>0.02</v>
          </cell>
          <cell r="Y101">
            <v>24360</v>
          </cell>
          <cell r="AC101">
            <v>24360</v>
          </cell>
          <cell r="AJ101">
            <v>21000</v>
          </cell>
        </row>
        <row r="102">
          <cell r="B102" t="str">
            <v>MF site</v>
          </cell>
          <cell r="C102" t="str">
            <v>U&amp;V</v>
          </cell>
          <cell r="D102" t="str">
            <v>Assets Shifting</v>
          </cell>
          <cell r="E102" t="str">
            <v>MPB01734</v>
          </cell>
          <cell r="F102">
            <v>45782</v>
          </cell>
          <cell r="G102" t="str">
            <v>SSS/2025-26/034</v>
          </cell>
          <cell r="H102" t="str">
            <v>Str8 &amp; Secure Services</v>
          </cell>
          <cell r="I102" t="str">
            <v>AQIPG2144B</v>
          </cell>
          <cell r="J102" t="str">
            <v>07AQIPG2144B1ZF</v>
          </cell>
          <cell r="K102" t="str">
            <v>Kanchan Nagar, Chhiri, Vapi, Gujarat Kanchan Nagar 396001</v>
          </cell>
          <cell r="L102" t="str">
            <v>Gujarat</v>
          </cell>
          <cell r="M102" t="str">
            <v>D-wing , Shop no.1, Wardhaman nagar, MHBC road , Ambernath East</v>
          </cell>
          <cell r="N102" t="str">
            <v>Maharashtra</v>
          </cell>
          <cell r="O102" t="str">
            <v>Assets Shifting</v>
          </cell>
          <cell r="P102">
            <v>19000</v>
          </cell>
          <cell r="Q102">
            <v>0</v>
          </cell>
          <cell r="R102">
            <v>0</v>
          </cell>
          <cell r="S102">
            <v>0</v>
          </cell>
          <cell r="T102">
            <v>3420</v>
          </cell>
          <cell r="U102">
            <v>0</v>
          </cell>
          <cell r="V102">
            <v>22420</v>
          </cell>
          <cell r="W102">
            <v>380</v>
          </cell>
          <cell r="X102">
            <v>0.02</v>
          </cell>
          <cell r="Y102">
            <v>22040</v>
          </cell>
          <cell r="AC102">
            <v>22040</v>
          </cell>
          <cell r="AJ102">
            <v>19000</v>
          </cell>
        </row>
        <row r="103">
          <cell r="B103">
            <v>1654</v>
          </cell>
          <cell r="C103" t="str">
            <v>Hitachi</v>
          </cell>
          <cell r="D103" t="str">
            <v>Assets Shifting</v>
          </cell>
          <cell r="E103" t="str">
            <v>MCRM8545</v>
          </cell>
          <cell r="F103">
            <v>45782</v>
          </cell>
          <cell r="G103" t="str">
            <v>SSS/2025-26/025</v>
          </cell>
          <cell r="H103" t="str">
            <v>Str8 &amp; Secure Services</v>
          </cell>
          <cell r="I103" t="str">
            <v>AQIPG2144B</v>
          </cell>
          <cell r="J103" t="str">
            <v>07AQIPG2144B1ZF</v>
          </cell>
          <cell r="K103" t="str">
            <v>MOTA KACHHABA, MUJPUR,PATAN,GUJARAT-384241</v>
          </cell>
          <cell r="L103" t="str">
            <v>Gujarat</v>
          </cell>
          <cell r="M103" t="str">
            <v>Kishore Bagai Transport, l-2 Jai Mata Di Compound , 2nd left next to Hetvi Textile, Kalher Bhiwandi, Maharashtra - 421302</v>
          </cell>
          <cell r="N103" t="str">
            <v>Maharashtra</v>
          </cell>
          <cell r="O103" t="str">
            <v>Assets Shifting</v>
          </cell>
          <cell r="P103">
            <v>22000</v>
          </cell>
          <cell r="Q103">
            <v>0</v>
          </cell>
          <cell r="R103">
            <v>0</v>
          </cell>
          <cell r="S103">
            <v>0</v>
          </cell>
          <cell r="T103">
            <v>3960</v>
          </cell>
          <cell r="U103">
            <v>0</v>
          </cell>
          <cell r="V103">
            <v>25960</v>
          </cell>
          <cell r="W103">
            <v>440</v>
          </cell>
          <cell r="X103">
            <v>0.02</v>
          </cell>
          <cell r="Y103">
            <v>25520</v>
          </cell>
          <cell r="AC103">
            <v>25520</v>
          </cell>
          <cell r="AJ103">
            <v>22000</v>
          </cell>
        </row>
        <row r="104">
          <cell r="B104">
            <v>1661</v>
          </cell>
          <cell r="C104" t="str">
            <v>NCR</v>
          </cell>
          <cell r="D104" t="str">
            <v>Assets Shifting</v>
          </cell>
          <cell r="E104" t="str">
            <v>1FNKAN43</v>
          </cell>
          <cell r="F104">
            <v>45782</v>
          </cell>
          <cell r="G104" t="str">
            <v>SSS/2025-26/027</v>
          </cell>
          <cell r="H104" t="str">
            <v>Str8 &amp; Secure Services</v>
          </cell>
          <cell r="I104" t="str">
            <v>AQIPG2144B</v>
          </cell>
          <cell r="J104" t="str">
            <v>07AQIPG2144B1ZF</v>
          </cell>
          <cell r="K104" t="str">
            <v>108/1 -3 P.Road Jareeb Chowki Chauraha Kanpur -208012</v>
          </cell>
          <cell r="L104" t="str">
            <v>Uttar Pradesh</v>
          </cell>
          <cell r="M104" t="str">
            <v>BARRAB  277A Z-1  C/0 NARSINGH CORNER  HEMANT VIHAR BARRA BYEPASS 1  DIST KANPUR  UP  PIN-208027</v>
          </cell>
          <cell r="N104" t="str">
            <v>Uttar Pradesh</v>
          </cell>
          <cell r="O104" t="str">
            <v>Assets Shifting</v>
          </cell>
          <cell r="P104">
            <v>8500</v>
          </cell>
          <cell r="Q104">
            <v>0</v>
          </cell>
          <cell r="R104">
            <v>0</v>
          </cell>
          <cell r="S104">
            <v>0</v>
          </cell>
          <cell r="T104">
            <v>1530</v>
          </cell>
          <cell r="U104">
            <v>0</v>
          </cell>
          <cell r="V104">
            <v>10030</v>
          </cell>
          <cell r="W104">
            <v>170</v>
          </cell>
          <cell r="X104">
            <v>0.02</v>
          </cell>
          <cell r="Y104">
            <v>9860</v>
          </cell>
          <cell r="AC104">
            <v>9860</v>
          </cell>
          <cell r="AJ104">
            <v>8500</v>
          </cell>
        </row>
        <row r="105">
          <cell r="B105" t="str">
            <v>MF site</v>
          </cell>
          <cell r="C105" t="str">
            <v>U&amp;V</v>
          </cell>
          <cell r="D105" t="str">
            <v>Assets Shifting</v>
          </cell>
          <cell r="E105" t="str">
            <v>MCRM0880</v>
          </cell>
          <cell r="F105">
            <v>45782</v>
          </cell>
          <cell r="G105" t="str">
            <v>SSS/2025-26/035</v>
          </cell>
          <cell r="H105" t="str">
            <v>Str8 &amp; Secure Services</v>
          </cell>
          <cell r="I105" t="str">
            <v>AQIPG2144B</v>
          </cell>
          <cell r="J105" t="str">
            <v>07AQIPG2144B1ZF</v>
          </cell>
          <cell r="K105" t="str">
            <v>Near Bank Of India, Khatraj Circle, Mehmdavad Dist- Kheda Gujrat 387130</v>
          </cell>
          <cell r="L105" t="str">
            <v>Gujarat</v>
          </cell>
          <cell r="M105" t="str">
            <v>Chawl No.2 Shiv Krupa Chawl, Sri Krishna Nagar Kachore Road, Patri Pul, Kalyan Katemanivali, Thane 421306</v>
          </cell>
          <cell r="N105" t="str">
            <v>Maharashtra</v>
          </cell>
          <cell r="O105" t="str">
            <v>Assets Shifting</v>
          </cell>
          <cell r="P105">
            <v>2500</v>
          </cell>
          <cell r="Q105">
            <v>0</v>
          </cell>
          <cell r="R105">
            <v>0</v>
          </cell>
          <cell r="S105">
            <v>0</v>
          </cell>
          <cell r="T105">
            <v>450</v>
          </cell>
          <cell r="U105">
            <v>0</v>
          </cell>
          <cell r="V105">
            <v>2950</v>
          </cell>
          <cell r="W105">
            <v>50</v>
          </cell>
          <cell r="X105">
            <v>0.02</v>
          </cell>
          <cell r="Y105">
            <v>2900</v>
          </cell>
          <cell r="AC105">
            <v>2900</v>
          </cell>
          <cell r="AJ105">
            <v>2500</v>
          </cell>
        </row>
        <row r="106">
          <cell r="B106" t="str">
            <v>Akshay Request</v>
          </cell>
          <cell r="C106" t="str">
            <v>UNV</v>
          </cell>
          <cell r="D106" t="str">
            <v>Assets Shifting</v>
          </cell>
          <cell r="E106" t="str">
            <v>MPB00008</v>
          </cell>
          <cell r="F106">
            <v>45811</v>
          </cell>
          <cell r="G106" t="str">
            <v>SSS/2025-26/049</v>
          </cell>
          <cell r="H106" t="str">
            <v>Str8 &amp; Secure Services</v>
          </cell>
          <cell r="I106" t="str">
            <v>AQIPG2144B</v>
          </cell>
          <cell r="J106" t="str">
            <v>07AQIPG2144B1ZF</v>
          </cell>
          <cell r="K106" t="str">
            <v>Raymond Showroom Mirza Mall Baroi Road Mundra Kutch,Gujarat</v>
          </cell>
          <cell r="L106" t="str">
            <v>Gujarat</v>
          </cell>
          <cell r="M106" t="str">
            <v>Behind Shiv Shanti Medical general store poona link road opp bhanu jyoti hospital, Katemanivali, Kalyan east thane 421306</v>
          </cell>
          <cell r="N106" t="str">
            <v>Maharashtra</v>
          </cell>
          <cell r="O106" t="str">
            <v>Assets Shifting</v>
          </cell>
          <cell r="P106">
            <v>19000</v>
          </cell>
          <cell r="Q106">
            <v>0</v>
          </cell>
          <cell r="R106">
            <v>0</v>
          </cell>
          <cell r="S106">
            <v>0</v>
          </cell>
          <cell r="T106">
            <v>3420</v>
          </cell>
          <cell r="U106">
            <v>0</v>
          </cell>
          <cell r="V106">
            <v>22420</v>
          </cell>
          <cell r="W106">
            <v>380</v>
          </cell>
          <cell r="X106">
            <v>0.02</v>
          </cell>
          <cell r="Y106">
            <v>22040</v>
          </cell>
          <cell r="AC106">
            <v>22040</v>
          </cell>
          <cell r="AJ106">
            <v>19000</v>
          </cell>
        </row>
        <row r="107">
          <cell r="B107">
            <v>1681</v>
          </cell>
          <cell r="C107" t="str">
            <v>NCR</v>
          </cell>
          <cell r="D107" t="str">
            <v>Assets Shifting</v>
          </cell>
          <cell r="E107" t="str">
            <v>MPZ02853</v>
          </cell>
          <cell r="F107">
            <v>45811</v>
          </cell>
          <cell r="G107" t="str">
            <v>SSS/2025-26/038</v>
          </cell>
          <cell r="H107" t="str">
            <v>Str8 &amp; Secure Services</v>
          </cell>
          <cell r="I107" t="str">
            <v>AQIPG2144B</v>
          </cell>
          <cell r="J107" t="str">
            <v>07AQIPG2144B1ZF</v>
          </cell>
          <cell r="K107" t="str">
            <v>C/O Kanhaiya Lalji Jadiya,Aarti Jwelers,Out Side Roadways Bus Stand, Po Aspur,District Dungarpur,Rajasthan-314021</v>
          </cell>
          <cell r="L107" t="str">
            <v>Rajasthan</v>
          </cell>
          <cell r="M107" t="str">
            <v>Shop no 3,near bus stop NUNA Majra, bahadurgarh, Jhajjar 124507</v>
          </cell>
          <cell r="N107" t="str">
            <v>Haryana</v>
          </cell>
          <cell r="O107" t="str">
            <v>Assets Shifting</v>
          </cell>
          <cell r="P107">
            <v>14500</v>
          </cell>
          <cell r="Q107">
            <v>0</v>
          </cell>
          <cell r="R107">
            <v>0</v>
          </cell>
          <cell r="S107">
            <v>0</v>
          </cell>
          <cell r="T107">
            <v>2610</v>
          </cell>
          <cell r="U107">
            <v>0</v>
          </cell>
          <cell r="V107">
            <v>17110</v>
          </cell>
          <cell r="W107">
            <v>290</v>
          </cell>
          <cell r="X107">
            <v>0.02</v>
          </cell>
          <cell r="Y107">
            <v>16820</v>
          </cell>
          <cell r="AC107">
            <v>16820</v>
          </cell>
          <cell r="AJ107">
            <v>14500</v>
          </cell>
        </row>
        <row r="108">
          <cell r="B108">
            <v>1682</v>
          </cell>
          <cell r="C108" t="str">
            <v>Hitachi</v>
          </cell>
          <cell r="D108" t="str">
            <v>Assets Shifting</v>
          </cell>
          <cell r="E108" t="str">
            <v>MPZ02853</v>
          </cell>
          <cell r="F108">
            <v>45811</v>
          </cell>
          <cell r="G108" t="str">
            <v>SSS/2025-26/038</v>
          </cell>
          <cell r="H108" t="str">
            <v>Str8 &amp; Secure Services</v>
          </cell>
          <cell r="I108" t="str">
            <v>AQIPG2144B</v>
          </cell>
          <cell r="J108" t="str">
            <v>07AQIPG2144B1ZF</v>
          </cell>
          <cell r="K108" t="str">
            <v>C/O Kanhaiya Lalji Jadiya,Aarti Jwelers,Out Side Roadways Bus Stand, Po Aspur,District Dungarpur,Rajasthan-314021</v>
          </cell>
          <cell r="L108" t="str">
            <v>Rajasthan</v>
          </cell>
          <cell r="M108" t="str">
            <v>Plot no 123, Sector 56 Phase IV, Industrial estate, kundli sonipat, sonipat, Haryana, 131028</v>
          </cell>
          <cell r="N108" t="str">
            <v>Haryana</v>
          </cell>
          <cell r="O108" t="str">
            <v>Assets Shifting</v>
          </cell>
          <cell r="P108">
            <v>7000</v>
          </cell>
          <cell r="Q108">
            <v>0</v>
          </cell>
          <cell r="R108">
            <v>0</v>
          </cell>
          <cell r="S108">
            <v>0</v>
          </cell>
          <cell r="T108">
            <v>1260</v>
          </cell>
          <cell r="U108">
            <v>0</v>
          </cell>
          <cell r="V108">
            <v>8260</v>
          </cell>
          <cell r="W108">
            <v>140</v>
          </cell>
          <cell r="X108">
            <v>0.02</v>
          </cell>
          <cell r="Y108">
            <v>8120</v>
          </cell>
          <cell r="AC108">
            <v>8120</v>
          </cell>
          <cell r="AJ108">
            <v>7000</v>
          </cell>
        </row>
        <row r="109">
          <cell r="B109">
            <v>1684</v>
          </cell>
          <cell r="C109" t="str">
            <v>NCR</v>
          </cell>
          <cell r="D109" t="str">
            <v>Assets Shifting</v>
          </cell>
          <cell r="E109" t="str">
            <v>6FCHAMDA01</v>
          </cell>
          <cell r="F109">
            <v>45811</v>
          </cell>
          <cell r="G109" t="str">
            <v>SSS/2025-26/045</v>
          </cell>
          <cell r="H109" t="str">
            <v>Str8 &amp; Secure Services</v>
          </cell>
          <cell r="I109" t="str">
            <v>AQIPG2144B</v>
          </cell>
          <cell r="J109" t="str">
            <v>07AQIPG2144B1ZF</v>
          </cell>
          <cell r="K109" t="str">
            <v>CHAMDA 88/336 Chamanahanj Near Ajmesri Chauraha Kanpur Uttar Pradesh Pin-208001</v>
          </cell>
          <cell r="L109" t="str">
            <v>Uttar Pradesh</v>
          </cell>
          <cell r="M109" t="str">
            <v>Rama Devi Chauraha Patel Nagar Dis-Kanpur Uttar Pradesh Pin-208207</v>
          </cell>
          <cell r="N109" t="str">
            <v>Uttar Pradesh</v>
          </cell>
          <cell r="O109" t="str">
            <v>Assets Shifting</v>
          </cell>
          <cell r="P109">
            <v>8500</v>
          </cell>
          <cell r="Q109">
            <v>0</v>
          </cell>
          <cell r="R109">
            <v>0</v>
          </cell>
          <cell r="S109">
            <v>0</v>
          </cell>
          <cell r="T109">
            <v>1530</v>
          </cell>
          <cell r="U109">
            <v>0</v>
          </cell>
          <cell r="V109">
            <v>10030</v>
          </cell>
          <cell r="W109">
            <v>170</v>
          </cell>
          <cell r="X109">
            <v>0.02</v>
          </cell>
          <cell r="Y109">
            <v>9860</v>
          </cell>
          <cell r="AC109">
            <v>9860</v>
          </cell>
          <cell r="AJ109">
            <v>8500</v>
          </cell>
        </row>
        <row r="110">
          <cell r="B110">
            <v>1685</v>
          </cell>
          <cell r="C110" t="str">
            <v>NCR</v>
          </cell>
          <cell r="D110" t="str">
            <v>Assets Shifting</v>
          </cell>
          <cell r="E110" t="str">
            <v>6FCHAMDA01</v>
          </cell>
          <cell r="F110">
            <v>45811</v>
          </cell>
          <cell r="G110" t="str">
            <v>SSS/2025-26/047</v>
          </cell>
          <cell r="H110" t="str">
            <v>Str8 &amp; Secure Services</v>
          </cell>
          <cell r="I110" t="str">
            <v>AQIPG2144B</v>
          </cell>
          <cell r="J110" t="str">
            <v>07AQIPG2144B1ZF</v>
          </cell>
          <cell r="K110" t="str">
            <v>CHAMDA 88/336 Chamanahanj Near Ajmesri Chauraha Kanpur Uttar Pradesh Pin-208001</v>
          </cell>
          <cell r="L110" t="str">
            <v>Uttar Pradesh</v>
          </cell>
          <cell r="M110" t="str">
            <v>SS WH - Ghaziabad - Balkishan Radha Enclave, Sabahaour Road, Inaam Vihar, Loni, Ghaziabad-201102</v>
          </cell>
          <cell r="N110" t="str">
            <v>Uttar Pradesh</v>
          </cell>
          <cell r="O110" t="str">
            <v>Assets Shifting</v>
          </cell>
          <cell r="P110">
            <v>5000</v>
          </cell>
          <cell r="Q110">
            <v>0</v>
          </cell>
          <cell r="R110">
            <v>0</v>
          </cell>
          <cell r="S110">
            <v>0</v>
          </cell>
          <cell r="T110">
            <v>900</v>
          </cell>
          <cell r="U110">
            <v>0</v>
          </cell>
          <cell r="V110">
            <v>5900</v>
          </cell>
          <cell r="W110">
            <v>100</v>
          </cell>
          <cell r="X110">
            <v>0.02</v>
          </cell>
          <cell r="Y110">
            <v>5800</v>
          </cell>
          <cell r="AC110">
            <v>5800</v>
          </cell>
          <cell r="AJ110">
            <v>5000</v>
          </cell>
        </row>
        <row r="111">
          <cell r="B111">
            <v>1692</v>
          </cell>
          <cell r="C111" t="str">
            <v>NCR</v>
          </cell>
          <cell r="D111" t="str">
            <v>Assets Shifting</v>
          </cell>
          <cell r="E111" t="str">
            <v>N2018100</v>
          </cell>
          <cell r="F111">
            <v>45811</v>
          </cell>
          <cell r="G111" t="str">
            <v>SSS/2025-26/045</v>
          </cell>
          <cell r="H111" t="str">
            <v>Str8 &amp; Secure Services</v>
          </cell>
          <cell r="I111" t="str">
            <v>AQIPG2144B</v>
          </cell>
          <cell r="J111" t="str">
            <v>07AQIPG2144B1ZF</v>
          </cell>
          <cell r="K111" t="str">
            <v>PNB, STATION ROAD, GONDA, UP-271001</v>
          </cell>
          <cell r="L111" t="str">
            <v>Uttar Pradesh</v>
          </cell>
          <cell r="M111" t="str">
            <v>SARV UP GRAMIN BANK SEMRA, DISTT-GONDA-271002, UP  (Offsite location)</v>
          </cell>
          <cell r="N111" t="str">
            <v>Uttar Pradesh</v>
          </cell>
          <cell r="O111" t="str">
            <v>Assets Shifting</v>
          </cell>
          <cell r="P111">
            <v>4500</v>
          </cell>
          <cell r="Q111">
            <v>0</v>
          </cell>
          <cell r="R111">
            <v>0</v>
          </cell>
          <cell r="S111">
            <v>0</v>
          </cell>
          <cell r="T111">
            <v>810</v>
          </cell>
          <cell r="U111">
            <v>0</v>
          </cell>
          <cell r="V111">
            <v>5310</v>
          </cell>
          <cell r="W111">
            <v>90</v>
          </cell>
          <cell r="X111">
            <v>0.02</v>
          </cell>
          <cell r="Y111">
            <v>5220</v>
          </cell>
          <cell r="AC111">
            <v>5220</v>
          </cell>
          <cell r="AJ111">
            <v>4500</v>
          </cell>
        </row>
        <row r="112">
          <cell r="B112">
            <v>1693</v>
          </cell>
          <cell r="C112" t="str">
            <v>NCR</v>
          </cell>
          <cell r="D112" t="str">
            <v>Assets Shifting</v>
          </cell>
          <cell r="E112" t="str">
            <v>N4248100</v>
          </cell>
          <cell r="F112">
            <v>45811</v>
          </cell>
          <cell r="G112" t="str">
            <v>SSS/2025-26/045</v>
          </cell>
          <cell r="H112" t="str">
            <v>Str8 &amp; Secure Services</v>
          </cell>
          <cell r="I112" t="str">
            <v>AQIPG2144B</v>
          </cell>
          <cell r="J112" t="str">
            <v>07AQIPG2144B1ZF</v>
          </cell>
          <cell r="K112" t="str">
            <v>PNB BO: Haripur, Gonda, UP-271001</v>
          </cell>
          <cell r="L112" t="str">
            <v>Uttar Pradesh</v>
          </cell>
          <cell r="M112" t="str">
            <v>PAC CAMPUS, Gonda, UP (Offsite location)-271001</v>
          </cell>
          <cell r="N112" t="str">
            <v>Uttar Pradesh</v>
          </cell>
          <cell r="O112" t="str">
            <v>Assets Shifting</v>
          </cell>
          <cell r="P112">
            <v>4500</v>
          </cell>
          <cell r="Q112">
            <v>0</v>
          </cell>
          <cell r="R112">
            <v>0</v>
          </cell>
          <cell r="S112">
            <v>0</v>
          </cell>
          <cell r="T112">
            <v>810</v>
          </cell>
          <cell r="U112">
            <v>0</v>
          </cell>
          <cell r="V112">
            <v>5310</v>
          </cell>
          <cell r="W112">
            <v>90</v>
          </cell>
          <cell r="X112">
            <v>0.02</v>
          </cell>
          <cell r="Y112">
            <v>5220</v>
          </cell>
          <cell r="AC112">
            <v>5220</v>
          </cell>
          <cell r="AJ112">
            <v>4500</v>
          </cell>
        </row>
        <row r="113">
          <cell r="B113">
            <v>1694</v>
          </cell>
          <cell r="C113" t="str">
            <v>NCR</v>
          </cell>
          <cell r="D113" t="str">
            <v>Assets Shifting</v>
          </cell>
          <cell r="E113" t="str">
            <v>N3851800</v>
          </cell>
          <cell r="F113">
            <v>45811</v>
          </cell>
          <cell r="G113" t="str">
            <v>SSS/2025-26/045</v>
          </cell>
          <cell r="H113" t="str">
            <v>Str8 &amp; Secure Services</v>
          </cell>
          <cell r="I113" t="str">
            <v>AQIPG2144B</v>
          </cell>
          <cell r="J113" t="str">
            <v>07AQIPG2144B1ZF</v>
          </cell>
          <cell r="K113" t="str">
            <v>PNB PAYAGIPUR, SULTANPUR, UP-228001</v>
          </cell>
          <cell r="L113" t="str">
            <v>Uttar Pradesh</v>
          </cell>
          <cell r="M113" t="str">
            <v>Station Road, Dist Sultanpur, UP - 228001 (Offsite location)</v>
          </cell>
          <cell r="N113" t="str">
            <v>Uttar Pradesh</v>
          </cell>
          <cell r="O113" t="str">
            <v>Assets Shifting</v>
          </cell>
          <cell r="P113">
            <v>5500</v>
          </cell>
          <cell r="Q113">
            <v>0</v>
          </cell>
          <cell r="R113">
            <v>0</v>
          </cell>
          <cell r="S113">
            <v>0</v>
          </cell>
          <cell r="T113">
            <v>990</v>
          </cell>
          <cell r="U113">
            <v>0</v>
          </cell>
          <cell r="V113">
            <v>6490</v>
          </cell>
          <cell r="W113">
            <v>110</v>
          </cell>
          <cell r="X113">
            <v>0.02</v>
          </cell>
          <cell r="Y113">
            <v>6380</v>
          </cell>
          <cell r="AC113">
            <v>6380</v>
          </cell>
          <cell r="AJ113">
            <v>5500</v>
          </cell>
        </row>
        <row r="114">
          <cell r="B114">
            <v>1702</v>
          </cell>
          <cell r="C114" t="str">
            <v>NCR</v>
          </cell>
          <cell r="D114" t="str">
            <v>Assets Shifting</v>
          </cell>
          <cell r="E114" t="str">
            <v>AHED2457</v>
          </cell>
          <cell r="F114">
            <v>45811</v>
          </cell>
          <cell r="G114" t="str">
            <v>SSS/2025-26/045</v>
          </cell>
          <cell r="H114" t="str">
            <v>Str8 &amp; Secure Services</v>
          </cell>
          <cell r="I114" t="str">
            <v>AQIPG2144B</v>
          </cell>
          <cell r="J114" t="str">
            <v>07AQIPG2144B1ZF</v>
          </cell>
          <cell r="K114" t="str">
            <v>KOTAK MAHINDRA BANK LTD, GROUND FLOOR, SHOP NO.21, GALA MAGNUS, SOUTH BOPAL, AHMEDABAD – 380058. Sol ID 3019</v>
          </cell>
          <cell r="L114" t="str">
            <v>Gujarat</v>
          </cell>
          <cell r="M114" t="str">
            <v>Kotak Mahindra Bank Ltd. Ground &amp; First Floor Trimurti Heights, 8-C, Madhuban Bank Street,Udaipur, Rajasthan - 313 004 __ Tel - (0294) 5105407</v>
          </cell>
          <cell r="N114" t="str">
            <v>Rajasthan</v>
          </cell>
          <cell r="O114" t="str">
            <v>Assets Shifting</v>
          </cell>
          <cell r="P114">
            <v>14500</v>
          </cell>
          <cell r="Q114">
            <v>0</v>
          </cell>
          <cell r="R114">
            <v>0</v>
          </cell>
          <cell r="S114">
            <v>0</v>
          </cell>
          <cell r="T114">
            <v>2610</v>
          </cell>
          <cell r="U114">
            <v>0</v>
          </cell>
          <cell r="V114">
            <v>17110</v>
          </cell>
          <cell r="W114">
            <v>290</v>
          </cell>
          <cell r="X114">
            <v>0.02</v>
          </cell>
          <cell r="Y114">
            <v>16820</v>
          </cell>
          <cell r="AC114">
            <v>16820</v>
          </cell>
          <cell r="AJ114">
            <v>14500</v>
          </cell>
        </row>
        <row r="115">
          <cell r="B115">
            <v>1715</v>
          </cell>
          <cell r="C115" t="str">
            <v>NCR</v>
          </cell>
          <cell r="D115" t="str">
            <v>Assets Shifting</v>
          </cell>
          <cell r="E115" t="str">
            <v>6FVASAHM02</v>
          </cell>
          <cell r="F115">
            <v>45811</v>
          </cell>
          <cell r="G115" t="str">
            <v>SSS/2025-26/045</v>
          </cell>
          <cell r="H115" t="str">
            <v>Str8 &amp; Secure Services</v>
          </cell>
          <cell r="I115" t="str">
            <v>AQIPG2144B</v>
          </cell>
          <cell r="J115" t="str">
            <v>07AQIPG2144B1ZF</v>
          </cell>
          <cell r="K115" t="str">
            <v>VASAHM SHOP NO-23 LOK PLAZA NR COLLECTOR OFFICE OPP. RELIANCE PETROL PUMP VASTRAL RING ROAD AHMEDABAD GUJARAT PIN-382418.</v>
          </cell>
          <cell r="L115" t="str">
            <v>Gujarat</v>
          </cell>
          <cell r="M115" t="str">
            <v>25, NIKITA SHOPPING CENTER OPP. CENTERAL WEAR HOUSE ISANPUR VATVA ROAD- ISANPUR AHMEDABAD  382440</v>
          </cell>
          <cell r="N115" t="str">
            <v>Gujarat</v>
          </cell>
          <cell r="O115" t="str">
            <v>Assets Shifting</v>
          </cell>
          <cell r="P115">
            <v>8500</v>
          </cell>
          <cell r="Q115">
            <v>0</v>
          </cell>
          <cell r="R115">
            <v>0</v>
          </cell>
          <cell r="S115">
            <v>0</v>
          </cell>
          <cell r="T115">
            <v>1530</v>
          </cell>
          <cell r="U115">
            <v>0</v>
          </cell>
          <cell r="V115">
            <v>10030</v>
          </cell>
          <cell r="W115">
            <v>170</v>
          </cell>
          <cell r="X115">
            <v>0.02</v>
          </cell>
          <cell r="Y115">
            <v>9860</v>
          </cell>
          <cell r="AC115">
            <v>9860</v>
          </cell>
          <cell r="AJ115">
            <v>8500</v>
          </cell>
        </row>
        <row r="116">
          <cell r="B116">
            <v>1721</v>
          </cell>
          <cell r="C116" t="str">
            <v>Hitachi</v>
          </cell>
          <cell r="D116" t="str">
            <v>Assets Shifting</v>
          </cell>
          <cell r="E116">
            <v>201440870</v>
          </cell>
          <cell r="F116">
            <v>45811</v>
          </cell>
          <cell r="G116" t="str">
            <v>SSS/2025-26/045</v>
          </cell>
          <cell r="H116" t="str">
            <v>Str8 &amp; Secure Services</v>
          </cell>
          <cell r="I116" t="str">
            <v>AQIPG2144B</v>
          </cell>
          <cell r="J116" t="str">
            <v>07AQIPG2144B1ZF</v>
          </cell>
          <cell r="K116" t="str">
            <v>Ahmedabad warehouse</v>
          </cell>
          <cell r="L116" t="str">
            <v>Gujarat</v>
          </cell>
          <cell r="M116" t="str">
            <v>shop No 23 Opp. urban Bank,Tarapur At.tarapur Dist.anand Pin.388180</v>
          </cell>
          <cell r="N116" t="str">
            <v>Gujarat</v>
          </cell>
          <cell r="O116" t="str">
            <v>Assets Shifting</v>
          </cell>
          <cell r="P116">
            <v>2000</v>
          </cell>
          <cell r="Q116">
            <v>0</v>
          </cell>
          <cell r="R116">
            <v>0</v>
          </cell>
          <cell r="S116">
            <v>0</v>
          </cell>
          <cell r="T116">
            <v>360</v>
          </cell>
          <cell r="U116">
            <v>0</v>
          </cell>
          <cell r="V116">
            <v>2360</v>
          </cell>
          <cell r="W116">
            <v>40</v>
          </cell>
          <cell r="X116">
            <v>0.02</v>
          </cell>
          <cell r="Y116">
            <v>2320</v>
          </cell>
          <cell r="AC116">
            <v>2320</v>
          </cell>
          <cell r="AJ116">
            <v>2000</v>
          </cell>
        </row>
        <row r="117">
          <cell r="B117">
            <v>1725</v>
          </cell>
          <cell r="C117" t="str">
            <v>NCR</v>
          </cell>
          <cell r="D117" t="str">
            <v>Assets Shifting</v>
          </cell>
          <cell r="E117">
            <v>91244001</v>
          </cell>
          <cell r="F117">
            <v>45811</v>
          </cell>
          <cell r="G117" t="str">
            <v>SSS/2025-26/045</v>
          </cell>
          <cell r="H117" t="str">
            <v>Str8 &amp; Secure Services</v>
          </cell>
          <cell r="I117" t="str">
            <v>AQIPG2144B</v>
          </cell>
          <cell r="J117" t="str">
            <v>07AQIPG2144B1ZF</v>
          </cell>
          <cell r="K117" t="str">
            <v> Mr Iqrar Khan, Itwa Barhani Road, Post – Itwa, District Siddharthnagar (UP), Pincode - 272192,</v>
          </cell>
          <cell r="L117" t="str">
            <v>Uttar Pradesh</v>
          </cell>
          <cell r="M117" t="str">
            <v> Mr Iqrar Khan, Itwa Barhani Road, Post – Itwa, District Siddharthnagar (UP), Pincode - 272192,</v>
          </cell>
          <cell r="N117" t="str">
            <v>Uttar Pradesh</v>
          </cell>
          <cell r="O117" t="str">
            <v>Assets Shifting</v>
          </cell>
          <cell r="P117">
            <v>5000</v>
          </cell>
          <cell r="Q117">
            <v>0</v>
          </cell>
          <cell r="R117">
            <v>0</v>
          </cell>
          <cell r="S117">
            <v>0</v>
          </cell>
          <cell r="T117">
            <v>900</v>
          </cell>
          <cell r="U117">
            <v>0</v>
          </cell>
          <cell r="V117">
            <v>5900</v>
          </cell>
          <cell r="W117">
            <v>100</v>
          </cell>
          <cell r="X117">
            <v>0.02</v>
          </cell>
          <cell r="Y117">
            <v>5800</v>
          </cell>
          <cell r="AC117">
            <v>5800</v>
          </cell>
          <cell r="AJ117">
            <v>5000</v>
          </cell>
        </row>
        <row r="118">
          <cell r="B118">
            <v>1728</v>
          </cell>
          <cell r="C118" t="str">
            <v>NCR</v>
          </cell>
          <cell r="D118" t="str">
            <v>Assets Shifting</v>
          </cell>
          <cell r="E118" t="str">
            <v>MPZ12946</v>
          </cell>
          <cell r="F118">
            <v>45811</v>
          </cell>
          <cell r="G118" t="str">
            <v>SSS/2025-26/040</v>
          </cell>
          <cell r="H118" t="str">
            <v>Str8 &amp; Secure Services</v>
          </cell>
          <cell r="I118" t="str">
            <v>AQIPG2144B</v>
          </cell>
          <cell r="J118" t="str">
            <v>07AQIPG2144B1ZF</v>
          </cell>
          <cell r="K118" t="str">
            <v>NEAR GURUKRUPA AUTO PARTS AND HARDWHER, VATMAN CHOKADI,VATMAN DHODKA HWY ,AHEMDAVAD-382265</v>
          </cell>
          <cell r="L118" t="str">
            <v>Gujarat</v>
          </cell>
          <cell r="M118" t="str">
            <v>Kishore Bagai Transport, l-2 Jai Mata Di Compound , 2nd left next to Hetvi Textile, Kalher Bhiwandi, Maharashtra - 421302</v>
          </cell>
          <cell r="N118" t="str">
            <v>Maharashtra</v>
          </cell>
          <cell r="O118" t="str">
            <v>Assets Shifting</v>
          </cell>
          <cell r="P118">
            <v>19000</v>
          </cell>
          <cell r="Q118">
            <v>0</v>
          </cell>
          <cell r="R118">
            <v>0</v>
          </cell>
          <cell r="S118">
            <v>0</v>
          </cell>
          <cell r="T118">
            <v>3420</v>
          </cell>
          <cell r="U118">
            <v>0</v>
          </cell>
          <cell r="V118">
            <v>22420</v>
          </cell>
          <cell r="W118">
            <v>380</v>
          </cell>
          <cell r="X118">
            <v>0.02</v>
          </cell>
          <cell r="Y118">
            <v>22040</v>
          </cell>
          <cell r="AC118">
            <v>22040</v>
          </cell>
          <cell r="AJ118">
            <v>19000</v>
          </cell>
        </row>
        <row r="119">
          <cell r="B119">
            <v>1731</v>
          </cell>
          <cell r="C119" t="str">
            <v>NCR</v>
          </cell>
          <cell r="D119" t="str">
            <v>Assets Shifting</v>
          </cell>
          <cell r="E119" t="str">
            <v>MPZ12214</v>
          </cell>
          <cell r="F119">
            <v>45811</v>
          </cell>
          <cell r="G119" t="str">
            <v>SSS/2025-26/039</v>
          </cell>
          <cell r="H119" t="str">
            <v>Str8 &amp; Secure Services</v>
          </cell>
          <cell r="I119" t="str">
            <v>AQIPG2144B</v>
          </cell>
          <cell r="J119" t="str">
            <v>07AQIPG2144B1ZF</v>
          </cell>
          <cell r="K119" t="str">
            <v>Balaji Nagar, Main Road, Boosi, Pali</v>
          </cell>
          <cell r="L119" t="str">
            <v>Rajasthan</v>
          </cell>
          <cell r="M119" t="str">
            <v>Plot no 123, Sector 56 Phase IV, Industrial estate, kundli sonipat, sonipat, Haryana, 131028</v>
          </cell>
          <cell r="N119" t="str">
            <v>Haryana</v>
          </cell>
          <cell r="O119" t="str">
            <v>Assets Shifting</v>
          </cell>
          <cell r="P119">
            <v>2000</v>
          </cell>
          <cell r="Q119">
            <v>0</v>
          </cell>
          <cell r="R119">
            <v>0</v>
          </cell>
          <cell r="S119">
            <v>0</v>
          </cell>
          <cell r="T119">
            <v>360</v>
          </cell>
          <cell r="U119">
            <v>0</v>
          </cell>
          <cell r="V119">
            <v>2360</v>
          </cell>
          <cell r="W119">
            <v>40</v>
          </cell>
          <cell r="X119">
            <v>0.02</v>
          </cell>
          <cell r="Y119">
            <v>2320</v>
          </cell>
          <cell r="AC119">
            <v>2320</v>
          </cell>
          <cell r="AJ119">
            <v>2000</v>
          </cell>
        </row>
        <row r="120">
          <cell r="B120">
            <v>1754</v>
          </cell>
          <cell r="C120" t="str">
            <v>NCR</v>
          </cell>
          <cell r="D120" t="str">
            <v>Assets Shifting</v>
          </cell>
          <cell r="E120" t="str">
            <v> 71-90046067</v>
          </cell>
          <cell r="F120">
            <v>45811</v>
          </cell>
          <cell r="G120" t="str">
            <v>SSS/2025-26/045</v>
          </cell>
          <cell r="H120" t="str">
            <v>Str8 &amp; Secure Services</v>
          </cell>
          <cell r="I120" t="str">
            <v>AQIPG2144B</v>
          </cell>
          <cell r="J120" t="str">
            <v>07AQIPG2144B1ZF</v>
          </cell>
          <cell r="K120" t="str">
            <v>DAV COLLEGE ABOHAR</v>
          </cell>
          <cell r="L120" t="str">
            <v>Punjab</v>
          </cell>
          <cell r="M120" t="str">
            <v>SHRI MUKTSAR KKP ROAD ATM SITE</v>
          </cell>
          <cell r="N120" t="str">
            <v>Punjab</v>
          </cell>
          <cell r="O120" t="str">
            <v>Assets Shifting</v>
          </cell>
          <cell r="P120">
            <v>6500</v>
          </cell>
          <cell r="Q120">
            <v>0</v>
          </cell>
          <cell r="R120">
            <v>0</v>
          </cell>
          <cell r="S120">
            <v>0</v>
          </cell>
          <cell r="T120">
            <v>1170</v>
          </cell>
          <cell r="U120">
            <v>0</v>
          </cell>
          <cell r="V120">
            <v>7670</v>
          </cell>
          <cell r="W120">
            <v>130</v>
          </cell>
          <cell r="X120">
            <v>0.02</v>
          </cell>
          <cell r="Y120">
            <v>7540</v>
          </cell>
          <cell r="AC120">
            <v>7540</v>
          </cell>
          <cell r="AJ120">
            <v>6500</v>
          </cell>
        </row>
        <row r="121">
          <cell r="B121">
            <v>1753</v>
          </cell>
          <cell r="C121" t="str">
            <v>NCR</v>
          </cell>
          <cell r="D121" t="str">
            <v>Assets Shifting</v>
          </cell>
          <cell r="E121" t="str">
            <v>N7176500</v>
          </cell>
          <cell r="F121">
            <v>45811</v>
          </cell>
          <cell r="G121" t="str">
            <v>SSS/2025-26/045</v>
          </cell>
          <cell r="H121" t="str">
            <v>Str8 &amp; Secure Services</v>
          </cell>
          <cell r="I121" t="str">
            <v>AQIPG2144B</v>
          </cell>
          <cell r="J121" t="str">
            <v>07AQIPG2144B1ZF</v>
          </cell>
          <cell r="K121" t="str">
            <v>9/56, Shyam Block, Kailash Nagar, Delhi - 110031</v>
          </cell>
          <cell r="L121" t="str">
            <v>Delhi</v>
          </cell>
          <cell r="M121" t="str">
            <v>9/164, Shyam Block, Kailash Nagar, Delhi - 110031</v>
          </cell>
          <cell r="N121" t="str">
            <v>Delhi</v>
          </cell>
          <cell r="O121" t="str">
            <v>Assets Shifting</v>
          </cell>
          <cell r="P121">
            <v>6000</v>
          </cell>
          <cell r="Q121">
            <v>0</v>
          </cell>
          <cell r="R121">
            <v>0</v>
          </cell>
          <cell r="S121">
            <v>0</v>
          </cell>
          <cell r="T121">
            <v>1080</v>
          </cell>
          <cell r="U121">
            <v>0</v>
          </cell>
          <cell r="V121">
            <v>7080</v>
          </cell>
          <cell r="W121">
            <v>120</v>
          </cell>
          <cell r="X121">
            <v>0.02</v>
          </cell>
          <cell r="Y121">
            <v>6960</v>
          </cell>
          <cell r="AC121">
            <v>6960</v>
          </cell>
          <cell r="AJ121">
            <v>6000</v>
          </cell>
        </row>
        <row r="122">
          <cell r="B122">
            <v>1758</v>
          </cell>
          <cell r="C122" t="str">
            <v>NCR</v>
          </cell>
          <cell r="D122" t="str">
            <v>Assets Shifting</v>
          </cell>
          <cell r="E122" t="str">
            <v>R2017010</v>
          </cell>
          <cell r="F122">
            <v>45811</v>
          </cell>
          <cell r="G122" t="str">
            <v>SSS/2025-26/046</v>
          </cell>
          <cell r="H122" t="str">
            <v>Str8 &amp; Secure Services</v>
          </cell>
          <cell r="I122" t="str">
            <v>AQIPG2144B</v>
          </cell>
          <cell r="J122" t="str">
            <v>07AQIPG2144B1ZF</v>
          </cell>
          <cell r="K122" t="str">
            <v>RUKSHMANI HOTEL BUILDING OPP MADHAV BAUG GARDGARDEN, RAILWAYPURA, AHMEDABAD-380002 </v>
          </cell>
          <cell r="L122" t="str">
            <v>Gujarat</v>
          </cell>
          <cell r="M122" t="str">
            <v>RUKSHMANI HOTEL BUILDING OPP MADHAV BAUG GARDGARDEN, RAILWAYPURA, AHMEDABAD-380002</v>
          </cell>
          <cell r="N122" t="str">
            <v>Gujarat</v>
          </cell>
          <cell r="O122" t="str">
            <v>Assets Shifting</v>
          </cell>
          <cell r="P122">
            <v>2000</v>
          </cell>
          <cell r="Q122">
            <v>0</v>
          </cell>
          <cell r="R122">
            <v>0</v>
          </cell>
          <cell r="S122">
            <v>0</v>
          </cell>
          <cell r="T122">
            <v>360</v>
          </cell>
          <cell r="U122">
            <v>0</v>
          </cell>
          <cell r="V122">
            <v>2360</v>
          </cell>
          <cell r="W122">
            <v>40</v>
          </cell>
          <cell r="X122">
            <v>0.02</v>
          </cell>
          <cell r="Y122">
            <v>2320</v>
          </cell>
          <cell r="AC122">
            <v>2320</v>
          </cell>
          <cell r="AJ122">
            <v>2000</v>
          </cell>
        </row>
        <row r="123">
          <cell r="B123">
            <v>1770</v>
          </cell>
          <cell r="C123" t="str">
            <v>NCR</v>
          </cell>
          <cell r="D123" t="str">
            <v>Assets Shifting</v>
          </cell>
          <cell r="E123" t="str">
            <v>6FFAZILK01</v>
          </cell>
          <cell r="F123">
            <v>45811</v>
          </cell>
          <cell r="G123" t="str">
            <v>SSS/2025-26/045</v>
          </cell>
          <cell r="H123" t="str">
            <v>Str8 &amp; Secure Services</v>
          </cell>
          <cell r="I123" t="str">
            <v>AQIPG2144B</v>
          </cell>
          <cell r="J123" t="str">
            <v>07AQIPG2144B1ZF</v>
          </cell>
          <cell r="K123" t="str">
            <v>Wool market near clock tower Fazilka 152123</v>
          </cell>
          <cell r="L123" t="str">
            <v>Punjab</v>
          </cell>
          <cell r="M123" t="str">
            <v>Fazilka Main Branch, Gaushala Road, Fazilka, Punjab- 152123</v>
          </cell>
          <cell r="N123" t="str">
            <v>Punjab</v>
          </cell>
          <cell r="O123" t="str">
            <v>Assets Shifting</v>
          </cell>
          <cell r="P123">
            <v>8000</v>
          </cell>
          <cell r="Q123">
            <v>0</v>
          </cell>
          <cell r="R123">
            <v>0</v>
          </cell>
          <cell r="S123">
            <v>0</v>
          </cell>
          <cell r="T123">
            <v>1440</v>
          </cell>
          <cell r="U123">
            <v>0</v>
          </cell>
          <cell r="V123">
            <v>9440</v>
          </cell>
          <cell r="W123">
            <v>160</v>
          </cell>
          <cell r="X123">
            <v>0.02</v>
          </cell>
          <cell r="Y123">
            <v>9280</v>
          </cell>
          <cell r="AC123">
            <v>9280</v>
          </cell>
          <cell r="AJ123">
            <v>8000</v>
          </cell>
        </row>
        <row r="124">
          <cell r="B124">
            <v>1775</v>
          </cell>
          <cell r="C124" t="str">
            <v>NCR</v>
          </cell>
          <cell r="D124" t="str">
            <v>Assets Shifting</v>
          </cell>
          <cell r="E124" t="str">
            <v>MPZ09961</v>
          </cell>
          <cell r="F124">
            <v>45811</v>
          </cell>
          <cell r="G124" t="str">
            <v>SSS/2025-26/038</v>
          </cell>
          <cell r="H124" t="str">
            <v>Str8 &amp; Secure Services</v>
          </cell>
          <cell r="I124" t="str">
            <v>AQIPG2144B</v>
          </cell>
          <cell r="J124" t="str">
            <v>07AQIPG2144B1ZF</v>
          </cell>
          <cell r="K124" t="str">
            <v>HNO 26/27 ST NO KAHJUR COLONY BAHADURKE ROAD LUDHIANA PUNJAB 141008</v>
          </cell>
          <cell r="L124" t="str">
            <v>Punjab</v>
          </cell>
          <cell r="M124" t="str">
            <v>Plot no 123, Sector 56 Phase IV, Industrial estate, kundli sonipat, sonipat, Haryana, 131028</v>
          </cell>
          <cell r="N124" t="str">
            <v>Haryana</v>
          </cell>
          <cell r="O124" t="str">
            <v>Assets Shifting</v>
          </cell>
          <cell r="P124">
            <v>17000</v>
          </cell>
          <cell r="Q124">
            <v>0</v>
          </cell>
          <cell r="R124">
            <v>0</v>
          </cell>
          <cell r="S124">
            <v>0</v>
          </cell>
          <cell r="T124">
            <v>3060</v>
          </cell>
          <cell r="U124">
            <v>0</v>
          </cell>
          <cell r="V124">
            <v>20060</v>
          </cell>
          <cell r="W124">
            <v>340</v>
          </cell>
          <cell r="X124">
            <v>0.02</v>
          </cell>
          <cell r="Y124">
            <v>19720</v>
          </cell>
          <cell r="AC124">
            <v>19720</v>
          </cell>
          <cell r="AJ124">
            <v>17000</v>
          </cell>
        </row>
        <row r="125">
          <cell r="B125">
            <v>1759</v>
          </cell>
          <cell r="C125" t="str">
            <v>Hitachi</v>
          </cell>
          <cell r="D125" t="str">
            <v>Assets Shifting</v>
          </cell>
          <cell r="E125" t="str">
            <v>MPB01045</v>
          </cell>
          <cell r="F125">
            <v>45811</v>
          </cell>
          <cell r="G125" t="str">
            <v>SSS/2025-26/041</v>
          </cell>
          <cell r="H125" t="str">
            <v>Str8 &amp; Secure Services</v>
          </cell>
          <cell r="I125" t="str">
            <v>AQIPG2144B</v>
          </cell>
          <cell r="J125" t="str">
            <v>07AQIPG2144B1ZF</v>
          </cell>
          <cell r="K125" t="str">
            <v>Add = Niyardeeh , post Cholapur , Cholapur , Varanasi , Uttar Pradesh 221101</v>
          </cell>
          <cell r="L125" t="str">
            <v>Uttar Pradesh</v>
          </cell>
          <cell r="M125" t="str">
            <v>Plot no 123, Sector 56 Phase IV, Industrial estate, kundli sonipat, sonipat, Haryana, 131028</v>
          </cell>
          <cell r="N125" t="str">
            <v>Haryana</v>
          </cell>
          <cell r="O125" t="str">
            <v>Assets Shifting</v>
          </cell>
          <cell r="P125">
            <v>21000</v>
          </cell>
          <cell r="Q125">
            <v>0</v>
          </cell>
          <cell r="R125">
            <v>0</v>
          </cell>
          <cell r="S125">
            <v>0</v>
          </cell>
          <cell r="T125">
            <v>3780</v>
          </cell>
          <cell r="U125">
            <v>0</v>
          </cell>
          <cell r="V125">
            <v>24780</v>
          </cell>
          <cell r="W125">
            <v>420</v>
          </cell>
          <cell r="X125">
            <v>0.02</v>
          </cell>
          <cell r="Y125">
            <v>24360</v>
          </cell>
          <cell r="AC125">
            <v>24360</v>
          </cell>
          <cell r="AJ125">
            <v>21000</v>
          </cell>
        </row>
        <row r="126">
          <cell r="B126">
            <v>1777</v>
          </cell>
          <cell r="C126" t="str">
            <v>NCR</v>
          </cell>
          <cell r="D126" t="str">
            <v>Assets Shifting</v>
          </cell>
          <cell r="E126" t="str">
            <v>NC405200</v>
          </cell>
          <cell r="F126">
            <v>45811</v>
          </cell>
          <cell r="G126" t="str">
            <v>SSS/2025-26/045</v>
          </cell>
          <cell r="H126" t="str">
            <v>Str8 &amp; Secure Services</v>
          </cell>
          <cell r="I126" t="str">
            <v>AQIPG2144B</v>
          </cell>
          <cell r="J126" t="str">
            <v>07AQIPG2144B1ZF</v>
          </cell>
          <cell r="K126" t="str">
            <v>713, Ground Floor shakti khand 3 indirapuram ghaziabad opp saint Teresa school ghaziabad up 201014</v>
          </cell>
          <cell r="L126" t="str">
            <v>Uttar Pradesh</v>
          </cell>
          <cell r="M126" t="str">
            <v> R D Engg College Main Entry Gate 8th KM Mile Stone from Ghaziabad National Highway NH NO 58 Delhi Meerut Express way Duhai Ghaziabad UP 201206</v>
          </cell>
          <cell r="N126" t="str">
            <v>Uttar Pradesh</v>
          </cell>
          <cell r="O126" t="str">
            <v>Assets Shifting</v>
          </cell>
          <cell r="P126">
            <v>3500</v>
          </cell>
          <cell r="Q126">
            <v>0</v>
          </cell>
          <cell r="R126">
            <v>0</v>
          </cell>
          <cell r="S126">
            <v>0</v>
          </cell>
          <cell r="T126">
            <v>630</v>
          </cell>
          <cell r="U126">
            <v>0</v>
          </cell>
          <cell r="V126">
            <v>4130</v>
          </cell>
          <cell r="W126">
            <v>70</v>
          </cell>
          <cell r="X126">
            <v>0.02</v>
          </cell>
          <cell r="Y126">
            <v>4060</v>
          </cell>
          <cell r="AC126">
            <v>4060</v>
          </cell>
          <cell r="AJ126">
            <v>3500</v>
          </cell>
        </row>
        <row r="127">
          <cell r="B127">
            <v>1782</v>
          </cell>
          <cell r="C127" t="str">
            <v>NCR</v>
          </cell>
          <cell r="D127" t="str">
            <v>Assets Shifting</v>
          </cell>
          <cell r="E127" t="str">
            <v> 71-90046067</v>
          </cell>
          <cell r="F127">
            <v>45811</v>
          </cell>
          <cell r="G127" t="str">
            <v>SSS/2025-26/045</v>
          </cell>
          <cell r="H127" t="str">
            <v>Str8 &amp; Secure Services</v>
          </cell>
          <cell r="I127" t="str">
            <v>AQIPG2144B</v>
          </cell>
          <cell r="J127" t="str">
            <v>07AQIPG2144B1ZF</v>
          </cell>
          <cell r="K127" t="str">
            <v>SHRI MUKTSAR KKP ROAD ATM SITE</v>
          </cell>
          <cell r="L127" t="str">
            <v>Punjab</v>
          </cell>
          <cell r="M127" t="str">
            <v>SHRI MUKTSAR KKP ROAD ATM SITE</v>
          </cell>
          <cell r="N127" t="str">
            <v>Punjab</v>
          </cell>
          <cell r="O127" t="str">
            <v>Assets Shifting</v>
          </cell>
          <cell r="P127">
            <v>6500</v>
          </cell>
          <cell r="Q127">
            <v>0</v>
          </cell>
          <cell r="R127">
            <v>0</v>
          </cell>
          <cell r="S127">
            <v>0</v>
          </cell>
          <cell r="T127">
            <v>1170</v>
          </cell>
          <cell r="U127">
            <v>0</v>
          </cell>
          <cell r="V127">
            <v>7670</v>
          </cell>
          <cell r="W127">
            <v>130</v>
          </cell>
          <cell r="X127">
            <v>0.02</v>
          </cell>
          <cell r="Y127">
            <v>7540</v>
          </cell>
          <cell r="AC127">
            <v>7540</v>
          </cell>
          <cell r="AJ127">
            <v>6500</v>
          </cell>
        </row>
        <row r="128">
          <cell r="B128">
            <v>1772</v>
          </cell>
          <cell r="C128" t="str">
            <v>NCR</v>
          </cell>
          <cell r="D128" t="str">
            <v>Assets Shifting</v>
          </cell>
          <cell r="E128" t="str">
            <v>6FFAZILK01</v>
          </cell>
          <cell r="F128">
            <v>45811</v>
          </cell>
          <cell r="G128" t="str">
            <v>SSS/2025-26/045</v>
          </cell>
          <cell r="H128" t="str">
            <v>Str8 &amp; Secure Services</v>
          </cell>
          <cell r="I128" t="str">
            <v>AQIPG2144B</v>
          </cell>
          <cell r="J128" t="str">
            <v>07AQIPG2144B1ZF</v>
          </cell>
          <cell r="K128" t="str">
            <v>Wool market near clock tower Fazilka 152123</v>
          </cell>
          <cell r="L128" t="str">
            <v>Punjab</v>
          </cell>
          <cell r="M128" t="str">
            <v>KHEWAT KHATONI NO. 81/99 KHASRA NO. 24//1/2/3(2-9)24//10/1/3(1-13) VILLAGE NIAMUMAJRA, TEHSIL BASSI, PATHANA, DISTRICT FATEHGARH SAHIB - 140412</v>
          </cell>
          <cell r="N128" t="str">
            <v>Punjab</v>
          </cell>
          <cell r="O128" t="str">
            <v>Assets Shifting</v>
          </cell>
          <cell r="P128">
            <v>4500</v>
          </cell>
          <cell r="Q128">
            <v>0</v>
          </cell>
          <cell r="R128">
            <v>0</v>
          </cell>
          <cell r="S128">
            <v>0</v>
          </cell>
          <cell r="T128">
            <v>810</v>
          </cell>
          <cell r="U128">
            <v>0</v>
          </cell>
          <cell r="V128">
            <v>5310</v>
          </cell>
          <cell r="W128">
            <v>90</v>
          </cell>
          <cell r="X128">
            <v>0.02</v>
          </cell>
          <cell r="Y128">
            <v>5220</v>
          </cell>
          <cell r="AC128">
            <v>5220</v>
          </cell>
          <cell r="AJ128">
            <v>4500</v>
          </cell>
        </row>
        <row r="129">
          <cell r="B129">
            <v>1778</v>
          </cell>
          <cell r="C129" t="str">
            <v>NCR</v>
          </cell>
          <cell r="D129" t="str">
            <v>Assets Shifting</v>
          </cell>
          <cell r="E129" t="str">
            <v>MPZ14625</v>
          </cell>
          <cell r="F129">
            <v>45811</v>
          </cell>
          <cell r="G129" t="str">
            <v>SSS/2025-26/038</v>
          </cell>
          <cell r="H129" t="str">
            <v>Str8 &amp; Secure Services</v>
          </cell>
          <cell r="I129" t="str">
            <v>AQIPG2144B</v>
          </cell>
          <cell r="J129" t="str">
            <v>07AQIPG2144B1ZF</v>
          </cell>
          <cell r="K129" t="str">
            <v>SHOP no 1 Railway road ,Geeta colony ,panipat Haryana</v>
          </cell>
          <cell r="L129" t="str">
            <v>Haryana</v>
          </cell>
          <cell r="M129" t="str">
            <v>SH0P NO-1,RAJAUND KAITHAL,HARYANA</v>
          </cell>
          <cell r="N129" t="str">
            <v>Haryana</v>
          </cell>
          <cell r="O129" t="str">
            <v>Assets Shifting</v>
          </cell>
          <cell r="P129">
            <v>12500</v>
          </cell>
          <cell r="Q129">
            <v>0</v>
          </cell>
          <cell r="R129">
            <v>0</v>
          </cell>
          <cell r="S129">
            <v>0</v>
          </cell>
          <cell r="T129">
            <v>2250</v>
          </cell>
          <cell r="U129">
            <v>0</v>
          </cell>
          <cell r="V129">
            <v>14750</v>
          </cell>
          <cell r="W129">
            <v>250</v>
          </cell>
          <cell r="X129">
            <v>0.02</v>
          </cell>
          <cell r="Y129">
            <v>14500</v>
          </cell>
          <cell r="AC129">
            <v>14500</v>
          </cell>
          <cell r="AJ129">
            <v>12500</v>
          </cell>
        </row>
        <row r="130">
          <cell r="B130">
            <v>1779</v>
          </cell>
          <cell r="C130" t="str">
            <v>NCR</v>
          </cell>
          <cell r="D130" t="str">
            <v>Assets Shifting</v>
          </cell>
          <cell r="E130" t="str">
            <v>6FDBGGAR01</v>
          </cell>
          <cell r="F130">
            <v>45811</v>
          </cell>
          <cell r="G130" t="str">
            <v>SSS/2025-26/046</v>
          </cell>
          <cell r="H130" t="str">
            <v>Str8 &amp; Secure Services</v>
          </cell>
          <cell r="I130" t="str">
            <v>AQIPG2144B</v>
          </cell>
          <cell r="J130" t="str">
            <v>07AQIPG2144B1ZF</v>
          </cell>
          <cell r="K130" t="str">
            <v>4/52 VIRAM KHAND GOMTI NAGAR HUSERIA LUCKNOW 226010</v>
          </cell>
          <cell r="L130" t="str">
            <v>Uttar Pradesh</v>
          </cell>
          <cell r="M130" t="str">
            <v>AMINAB  267/41  WATER WORKS ROAD  AISHBAGH  LUCKNOW  UP  PIN-226004</v>
          </cell>
          <cell r="N130" t="str">
            <v>Uttar Pradesh</v>
          </cell>
          <cell r="O130" t="str">
            <v>Assets Shifting</v>
          </cell>
          <cell r="P130">
            <v>2000</v>
          </cell>
          <cell r="Q130">
            <v>0</v>
          </cell>
          <cell r="R130">
            <v>0</v>
          </cell>
          <cell r="S130">
            <v>0</v>
          </cell>
          <cell r="T130">
            <v>360</v>
          </cell>
          <cell r="U130">
            <v>0</v>
          </cell>
          <cell r="V130">
            <v>2360</v>
          </cell>
          <cell r="W130">
            <v>40</v>
          </cell>
          <cell r="X130">
            <v>0.02</v>
          </cell>
          <cell r="Y130">
            <v>2320</v>
          </cell>
          <cell r="AC130">
            <v>2320</v>
          </cell>
          <cell r="AJ130">
            <v>2000</v>
          </cell>
        </row>
        <row r="131">
          <cell r="B131">
            <v>1780</v>
          </cell>
          <cell r="C131" t="str">
            <v>NCR</v>
          </cell>
          <cell r="D131" t="str">
            <v>Assets Shifting</v>
          </cell>
          <cell r="E131" t="str">
            <v>6FDBGGAR01</v>
          </cell>
          <cell r="F131">
            <v>45811</v>
          </cell>
          <cell r="G131" t="str">
            <v>SSS/2025-26/048</v>
          </cell>
          <cell r="H131" t="str">
            <v>Str8 &amp; Secure Services</v>
          </cell>
          <cell r="I131" t="str">
            <v>AQIPG2144B</v>
          </cell>
          <cell r="J131" t="str">
            <v>07AQIPG2144B1ZF</v>
          </cell>
          <cell r="K131" t="str">
            <v>4/52 VIRAM KHAND GOMTI NAGAR HUSERIA LUCKNOW 226010</v>
          </cell>
          <cell r="L131" t="str">
            <v>Uttar Pradesh</v>
          </cell>
          <cell r="M131" t="str">
            <v>SS WH - Ghaziabad - Balkishan Radha Enclave, Sabahaour Road, Inaam Vihar, Loni, Ghaziabad-201102</v>
          </cell>
          <cell r="N131" t="str">
            <v>Uttar Pradesh</v>
          </cell>
          <cell r="O131" t="str">
            <v>Assets Shifting</v>
          </cell>
          <cell r="P131">
            <v>4500</v>
          </cell>
          <cell r="Q131">
            <v>0</v>
          </cell>
          <cell r="R131">
            <v>0</v>
          </cell>
          <cell r="S131">
            <v>0</v>
          </cell>
          <cell r="T131">
            <v>810</v>
          </cell>
          <cell r="U131">
            <v>0</v>
          </cell>
          <cell r="V131">
            <v>5310</v>
          </cell>
          <cell r="W131">
            <v>90</v>
          </cell>
          <cell r="X131">
            <v>0.02</v>
          </cell>
          <cell r="Y131">
            <v>5220</v>
          </cell>
          <cell r="AC131">
            <v>5220</v>
          </cell>
          <cell r="AJ131">
            <v>4500</v>
          </cell>
        </row>
        <row r="132">
          <cell r="B132">
            <v>1783</v>
          </cell>
          <cell r="C132" t="str">
            <v>HItachi</v>
          </cell>
          <cell r="D132" t="str">
            <v>Assets Shifting</v>
          </cell>
          <cell r="E132" t="str">
            <v>MCRM7167</v>
          </cell>
          <cell r="F132">
            <v>45811</v>
          </cell>
          <cell r="G132" t="str">
            <v>SSS/2025-26/038</v>
          </cell>
          <cell r="H132" t="str">
            <v>Str8 &amp; Secure Services</v>
          </cell>
          <cell r="I132" t="str">
            <v>AQIPG2144B</v>
          </cell>
          <cell r="J132" t="str">
            <v>07AQIPG2144B1ZF</v>
          </cell>
          <cell r="K132" t="str">
            <v>2A613,Krishna Vihar ,BSA college Maghura ,UP 281004</v>
          </cell>
          <cell r="L132" t="str">
            <v>Uttar Pradesh</v>
          </cell>
          <cell r="M132" t="str">
            <v>Plot no 123, Sector 56 Phase IV, Industrial estate, kundli sonipat, sonipat, Haryana, 131028</v>
          </cell>
          <cell r="N132" t="str">
            <v>Haryana</v>
          </cell>
          <cell r="O132" t="str">
            <v>Assets Shifting</v>
          </cell>
          <cell r="P132">
            <v>20000</v>
          </cell>
          <cell r="Q132">
            <v>0</v>
          </cell>
          <cell r="R132">
            <v>0</v>
          </cell>
          <cell r="S132">
            <v>0</v>
          </cell>
          <cell r="T132">
            <v>3600</v>
          </cell>
          <cell r="U132">
            <v>0</v>
          </cell>
          <cell r="V132">
            <v>23600</v>
          </cell>
          <cell r="W132">
            <v>400</v>
          </cell>
          <cell r="X132">
            <v>0.02</v>
          </cell>
          <cell r="Y132">
            <v>23200</v>
          </cell>
          <cell r="AC132">
            <v>23200</v>
          </cell>
          <cell r="AJ132">
            <v>20000</v>
          </cell>
        </row>
        <row r="133">
          <cell r="B133">
            <v>1779</v>
          </cell>
          <cell r="C133" t="str">
            <v>NCR</v>
          </cell>
          <cell r="D133" t="str">
            <v>Assets Shifting</v>
          </cell>
          <cell r="E133" t="str">
            <v>6FDBGGAR01</v>
          </cell>
          <cell r="F133">
            <v>45811</v>
          </cell>
          <cell r="G133" t="str">
            <v>SSS/2025-26/045</v>
          </cell>
          <cell r="H133" t="str">
            <v>Str8 &amp; Secure Services</v>
          </cell>
          <cell r="I133" t="str">
            <v>AQIPG2144B</v>
          </cell>
          <cell r="J133" t="str">
            <v>07AQIPG2144B1ZF</v>
          </cell>
          <cell r="K133" t="str">
            <v>4/52 VIRAM KHAND GOMTI NAGAR HUSERIA LUCKNOW 226010</v>
          </cell>
          <cell r="L133" t="str">
            <v>Uttar Pradesh</v>
          </cell>
          <cell r="M133" t="str">
            <v>AMINAB  267/41  WATER WORKS ROAD  AISHBAGH  LUCKNOW  UP  PIN-226004</v>
          </cell>
          <cell r="N133" t="str">
            <v>Uttar Pradesh</v>
          </cell>
          <cell r="O133" t="str">
            <v>Assets Shifting</v>
          </cell>
          <cell r="P133">
            <v>8000</v>
          </cell>
          <cell r="Q133">
            <v>0</v>
          </cell>
          <cell r="R133">
            <v>0</v>
          </cell>
          <cell r="S133">
            <v>0</v>
          </cell>
          <cell r="T133">
            <v>1440</v>
          </cell>
          <cell r="U133">
            <v>0</v>
          </cell>
          <cell r="V133">
            <v>9440</v>
          </cell>
          <cell r="W133">
            <v>160</v>
          </cell>
          <cell r="X133">
            <v>0.02</v>
          </cell>
          <cell r="Y133">
            <v>9280</v>
          </cell>
          <cell r="AC133">
            <v>9280</v>
          </cell>
          <cell r="AJ133">
            <v>8000</v>
          </cell>
        </row>
        <row r="134">
          <cell r="B134">
            <v>1785</v>
          </cell>
          <cell r="C134" t="str">
            <v>HItachi</v>
          </cell>
          <cell r="D134" t="str">
            <v>Assets Shifting</v>
          </cell>
          <cell r="E134" t="str">
            <v>MPZ04424</v>
          </cell>
          <cell r="F134">
            <v>45811</v>
          </cell>
          <cell r="G134" t="str">
            <v>SSS/2025-26/042</v>
          </cell>
          <cell r="H134" t="str">
            <v>Str8 &amp; Secure Services</v>
          </cell>
          <cell r="I134" t="str">
            <v>AQIPG2144B</v>
          </cell>
          <cell r="J134" t="str">
            <v>07AQIPG2144B1ZF</v>
          </cell>
          <cell r="K134" t="str">
            <v>dodbasi,roshnabad salempur,haridwar</v>
          </cell>
          <cell r="L134" t="str">
            <v>Uttarakhand</v>
          </cell>
          <cell r="M134" t="str">
            <v>Plot no 123, Sector 56 Phase IV, Industrial estate, kundli sonipat, sonipat, Haryana, 131028</v>
          </cell>
          <cell r="N134" t="str">
            <v>Haryana</v>
          </cell>
          <cell r="O134" t="str">
            <v>Assets Shifting</v>
          </cell>
          <cell r="P134">
            <v>19000</v>
          </cell>
          <cell r="Q134">
            <v>0</v>
          </cell>
          <cell r="R134">
            <v>0</v>
          </cell>
          <cell r="S134">
            <v>0</v>
          </cell>
          <cell r="T134">
            <v>3420</v>
          </cell>
          <cell r="U134">
            <v>0</v>
          </cell>
          <cell r="V134">
            <v>22420</v>
          </cell>
          <cell r="W134">
            <v>380</v>
          </cell>
          <cell r="X134">
            <v>0.02</v>
          </cell>
          <cell r="Y134">
            <v>22040</v>
          </cell>
          <cell r="AC134">
            <v>22040</v>
          </cell>
          <cell r="AJ134">
            <v>19000</v>
          </cell>
        </row>
        <row r="135">
          <cell r="B135">
            <v>1797</v>
          </cell>
          <cell r="C135" t="str">
            <v>NCR</v>
          </cell>
          <cell r="D135" t="str">
            <v>Assets Shifting</v>
          </cell>
          <cell r="E135" t="str">
            <v>MPZ09677</v>
          </cell>
          <cell r="F135">
            <v>45811</v>
          </cell>
          <cell r="G135" t="str">
            <v>SSS/2025-26/038</v>
          </cell>
          <cell r="H135" t="str">
            <v>Str8 &amp; Secure Services</v>
          </cell>
          <cell r="I135" t="str">
            <v>AQIPG2144B</v>
          </cell>
          <cell r="J135" t="str">
            <v>07AQIPG2144B1ZF</v>
          </cell>
          <cell r="K135" t="str">
            <v>Shop at opposite Panchayat Bhavan Jaliawas, Village Jaliawas, Tahsil Bawal, Distt. Rewari Haryana 123501</v>
          </cell>
          <cell r="L135" t="str">
            <v>Haryana</v>
          </cell>
          <cell r="M135" t="str">
            <v>SHOP NO 1 BASANT VIHAR JAGDHARI YUMNANAGAR 135004</v>
          </cell>
          <cell r="N135" t="str">
            <v>Haryana</v>
          </cell>
          <cell r="O135" t="str">
            <v>Assets Shifting</v>
          </cell>
          <cell r="P135">
            <v>15000</v>
          </cell>
          <cell r="Q135">
            <v>0</v>
          </cell>
          <cell r="R135">
            <v>0</v>
          </cell>
          <cell r="S135">
            <v>0</v>
          </cell>
          <cell r="T135">
            <v>2700</v>
          </cell>
          <cell r="U135">
            <v>0</v>
          </cell>
          <cell r="V135">
            <v>17700</v>
          </cell>
          <cell r="W135">
            <v>300</v>
          </cell>
          <cell r="X135">
            <v>0.02</v>
          </cell>
          <cell r="Y135">
            <v>17400</v>
          </cell>
          <cell r="AC135">
            <v>17400</v>
          </cell>
          <cell r="AJ135">
            <v>15000</v>
          </cell>
        </row>
        <row r="136">
          <cell r="B136">
            <v>1794</v>
          </cell>
          <cell r="C136" t="str">
            <v>HItachi</v>
          </cell>
          <cell r="D136" t="str">
            <v>Assets Shifting</v>
          </cell>
          <cell r="E136" t="str">
            <v>MPZ10651</v>
          </cell>
          <cell r="F136">
            <v>45811</v>
          </cell>
          <cell r="G136" t="str">
            <v>SSS/2025-26/043</v>
          </cell>
          <cell r="H136" t="str">
            <v>Str8 &amp; Secure Services</v>
          </cell>
          <cell r="I136" t="str">
            <v>AQIPG2144B</v>
          </cell>
          <cell r="J136" t="str">
            <v>07AQIPG2144B1ZF</v>
          </cell>
          <cell r="K136" t="str">
            <v>SHOP NO. – 281, SECTOR 7, HUDA MARKET, FARIDABAD, HARYANA 121006</v>
          </cell>
          <cell r="L136" t="str">
            <v>Haryana</v>
          </cell>
          <cell r="M136" t="str">
            <v>Plot no 123, Sector 56 Phase IV, Industrial estate, kundli sonipat, sonipat, Haryana, 131028</v>
          </cell>
          <cell r="N136" t="str">
            <v>Haryana</v>
          </cell>
          <cell r="O136" t="str">
            <v>Assets Shifting</v>
          </cell>
          <cell r="P136">
            <v>17000</v>
          </cell>
          <cell r="Q136">
            <v>0</v>
          </cell>
          <cell r="R136">
            <v>0</v>
          </cell>
          <cell r="S136">
            <v>0</v>
          </cell>
          <cell r="T136">
            <v>3060</v>
          </cell>
          <cell r="U136">
            <v>0</v>
          </cell>
          <cell r="V136">
            <v>20060</v>
          </cell>
          <cell r="W136">
            <v>340</v>
          </cell>
          <cell r="X136">
            <v>0.02</v>
          </cell>
          <cell r="Y136">
            <v>19720</v>
          </cell>
          <cell r="AC136">
            <v>19720</v>
          </cell>
          <cell r="AJ136">
            <v>17000</v>
          </cell>
        </row>
        <row r="137">
          <cell r="B137">
            <v>1802</v>
          </cell>
          <cell r="C137" t="str">
            <v>HItachi</v>
          </cell>
          <cell r="D137" t="str">
            <v>Assets Shifting</v>
          </cell>
          <cell r="E137" t="str">
            <v>MPZ08430</v>
          </cell>
          <cell r="F137">
            <v>45811</v>
          </cell>
          <cell r="G137" t="str">
            <v>SSS/2025-26/038</v>
          </cell>
          <cell r="H137" t="str">
            <v>Str8 &amp; Secure Services</v>
          </cell>
          <cell r="I137" t="str">
            <v>AQIPG2144B</v>
          </cell>
          <cell r="J137" t="str">
            <v>07AQIPG2144B1ZF</v>
          </cell>
          <cell r="K137" t="str">
            <v>Shop No 2,GANDHI NAGAR.NEAR CHANDPUR GURUDWARA YAMUNANAGAR HARYANA pin code 135001</v>
          </cell>
          <cell r="L137" t="str">
            <v>Haryana</v>
          </cell>
          <cell r="M137" t="str">
            <v>Plot no 123, Sector 56 Phase IV, Industrial estate, kundli sonipat, sonipat, Haryana, 131028</v>
          </cell>
          <cell r="N137" t="str">
            <v>Haryana</v>
          </cell>
          <cell r="O137" t="str">
            <v>Assets Shifting</v>
          </cell>
          <cell r="P137">
            <v>18500</v>
          </cell>
          <cell r="Q137">
            <v>0</v>
          </cell>
          <cell r="R137">
            <v>0</v>
          </cell>
          <cell r="S137">
            <v>0</v>
          </cell>
          <cell r="T137">
            <v>3330</v>
          </cell>
          <cell r="U137">
            <v>0</v>
          </cell>
          <cell r="V137">
            <v>21830</v>
          </cell>
          <cell r="W137">
            <v>370</v>
          </cell>
          <cell r="X137">
            <v>0.02</v>
          </cell>
          <cell r="Y137">
            <v>21460</v>
          </cell>
          <cell r="AC137">
            <v>21460</v>
          </cell>
          <cell r="AJ137">
            <v>18500</v>
          </cell>
        </row>
        <row r="138">
          <cell r="B138">
            <v>1803</v>
          </cell>
          <cell r="C138" t="str">
            <v>HItachi</v>
          </cell>
          <cell r="D138" t="str">
            <v>Assets Shifting</v>
          </cell>
          <cell r="E138" t="str">
            <v>MPZ12971</v>
          </cell>
          <cell r="F138">
            <v>45811</v>
          </cell>
          <cell r="G138" t="str">
            <v>SSS/2025-26/038</v>
          </cell>
          <cell r="H138" t="str">
            <v>Str8 &amp; Secure Services</v>
          </cell>
          <cell r="I138" t="str">
            <v>AQIPG2144B</v>
          </cell>
          <cell r="J138" t="str">
            <v>07AQIPG2144B1ZF</v>
          </cell>
          <cell r="K138" t="str">
            <v>Abdul Kadir,Shop no 02,Near HDFC Bank,Post office Punhana,Teh-Punhana,Nuh Mewat,Haryana 122508</v>
          </cell>
          <cell r="L138" t="str">
            <v>Haryana</v>
          </cell>
          <cell r="M138" t="str">
            <v>Plot no 123, Sector 56 Phase IV, Industrial estate, kundli sonipat, sonipat, Haryana, 131028</v>
          </cell>
          <cell r="N138" t="str">
            <v>Haryana</v>
          </cell>
          <cell r="O138" t="str">
            <v>Assets Shifting</v>
          </cell>
          <cell r="P138">
            <v>16000</v>
          </cell>
          <cell r="Q138">
            <v>0</v>
          </cell>
          <cell r="R138">
            <v>0</v>
          </cell>
          <cell r="S138">
            <v>0</v>
          </cell>
          <cell r="T138">
            <v>2880</v>
          </cell>
          <cell r="U138">
            <v>0</v>
          </cell>
          <cell r="V138">
            <v>18880</v>
          </cell>
          <cell r="W138">
            <v>320</v>
          </cell>
          <cell r="X138">
            <v>0.02</v>
          </cell>
          <cell r="Y138">
            <v>18560</v>
          </cell>
          <cell r="AC138">
            <v>18560</v>
          </cell>
          <cell r="AJ138">
            <v>16000</v>
          </cell>
        </row>
        <row r="139">
          <cell r="B139">
            <v>1804</v>
          </cell>
          <cell r="C139" t="str">
            <v>HItachi</v>
          </cell>
          <cell r="D139" t="str">
            <v>Assets Shifting</v>
          </cell>
          <cell r="E139" t="str">
            <v>MPZ10758</v>
          </cell>
          <cell r="F139">
            <v>45811</v>
          </cell>
          <cell r="G139" t="str">
            <v>SSS/2025-26/044</v>
          </cell>
          <cell r="H139" t="str">
            <v>Str8 &amp; Secure Services</v>
          </cell>
          <cell r="I139" t="str">
            <v>AQIPG2144B</v>
          </cell>
          <cell r="J139" t="str">
            <v>07AQIPG2144B1ZF</v>
          </cell>
          <cell r="K139" t="str">
            <v>Delhi WH</v>
          </cell>
          <cell r="L139" t="str">
            <v>Delhi</v>
          </cell>
          <cell r="M139" t="str">
            <v>Plot no 123, Sector 56 Phase IV, Industrial estate, kundli sonipat, sonipat, Haryana, 131028</v>
          </cell>
          <cell r="N139" t="str">
            <v>Haryana</v>
          </cell>
          <cell r="O139" t="str">
            <v>Assets Shifting</v>
          </cell>
          <cell r="P139">
            <v>7000</v>
          </cell>
          <cell r="Q139">
            <v>0</v>
          </cell>
          <cell r="R139">
            <v>0</v>
          </cell>
          <cell r="S139">
            <v>0</v>
          </cell>
          <cell r="T139">
            <v>1260</v>
          </cell>
          <cell r="U139">
            <v>0</v>
          </cell>
          <cell r="V139">
            <v>8260</v>
          </cell>
          <cell r="W139">
            <v>140</v>
          </cell>
          <cell r="X139">
            <v>0.02</v>
          </cell>
          <cell r="Y139">
            <v>8120</v>
          </cell>
          <cell r="AC139">
            <v>8120</v>
          </cell>
          <cell r="AJ139">
            <v>7000</v>
          </cell>
        </row>
        <row r="140">
          <cell r="B140">
            <v>1798</v>
          </cell>
          <cell r="C140" t="str">
            <v>NCR</v>
          </cell>
          <cell r="D140" t="str">
            <v>Assets Shifting</v>
          </cell>
          <cell r="E140" t="str">
            <v>MPZ11020</v>
          </cell>
          <cell r="F140">
            <v>45842</v>
          </cell>
          <cell r="G140" t="str">
            <v>SSS/2025-26/068</v>
          </cell>
          <cell r="H140" t="str">
            <v>Str8 &amp; Secure Services</v>
          </cell>
          <cell r="I140" t="str">
            <v>AQIPG2144B</v>
          </cell>
          <cell r="J140" t="str">
            <v>07AQIPG2144B1ZF</v>
          </cell>
          <cell r="K140" t="str">
            <v>HOUSE NO 191/22 BEHIND CIVIL HOSPITAL,NEHRU PARK, BAHADURGARH,JHAJJAR,HARYANA 124507</v>
          </cell>
          <cell r="L140" t="str">
            <v>Haryana</v>
          </cell>
          <cell r="M140" t="str">
            <v>SHOP NO.7, GALI NO.10, VASANT VIHAR SEC-28, KARNAL, HARYANA, 132001</v>
          </cell>
          <cell r="N140" t="str">
            <v>Haryana</v>
          </cell>
          <cell r="O140" t="str">
            <v>Assets Shifting</v>
          </cell>
          <cell r="P140">
            <v>8500</v>
          </cell>
          <cell r="Q140">
            <v>0</v>
          </cell>
          <cell r="R140">
            <v>0</v>
          </cell>
          <cell r="S140">
            <v>0</v>
          </cell>
          <cell r="T140">
            <v>1530</v>
          </cell>
          <cell r="U140">
            <v>0</v>
          </cell>
          <cell r="V140">
            <v>10030</v>
          </cell>
          <cell r="W140">
            <v>170</v>
          </cell>
          <cell r="X140">
            <v>0.02</v>
          </cell>
          <cell r="Y140">
            <v>9860</v>
          </cell>
          <cell r="AC140">
            <v>9860</v>
          </cell>
          <cell r="AJ140">
            <v>8500</v>
          </cell>
        </row>
        <row r="141">
          <cell r="B141">
            <v>1799</v>
          </cell>
          <cell r="C141" t="str">
            <v>HItachi</v>
          </cell>
          <cell r="D141" t="str">
            <v>Assets Shifting</v>
          </cell>
          <cell r="E141" t="str">
            <v>MPZ11020</v>
          </cell>
          <cell r="F141">
            <v>45842</v>
          </cell>
          <cell r="G141" t="str">
            <v>SSS/2025-26/056</v>
          </cell>
          <cell r="H141" t="str">
            <v>Str8 &amp; Secure Services</v>
          </cell>
          <cell r="I141" t="str">
            <v>AQIPG2144B</v>
          </cell>
          <cell r="J141" t="str">
            <v>07AQIPG2144B1ZF</v>
          </cell>
          <cell r="K141" t="str">
            <v>HOUSE NO 191/22 BEHIND CIVIL HOSPITAL,NEHRU PARK, BAHADURGARH,JHAJJAR,HARYANA 124507</v>
          </cell>
          <cell r="L141" t="str">
            <v>Haryana</v>
          </cell>
          <cell r="M141" t="str">
            <v>Plot no 123, Sector 56 Phase IV, Industrial estate, kundli sonipat, sonipat, Haryana, 131028</v>
          </cell>
          <cell r="N141" t="str">
            <v>Haryana</v>
          </cell>
          <cell r="O141" t="str">
            <v>Assets Shifting</v>
          </cell>
          <cell r="P141">
            <v>6000</v>
          </cell>
          <cell r="Q141">
            <v>0</v>
          </cell>
          <cell r="R141">
            <v>0</v>
          </cell>
          <cell r="S141">
            <v>0</v>
          </cell>
          <cell r="T141">
            <v>1080</v>
          </cell>
          <cell r="U141">
            <v>0</v>
          </cell>
          <cell r="V141">
            <v>7080</v>
          </cell>
          <cell r="W141">
            <v>120</v>
          </cell>
          <cell r="X141">
            <v>0.02</v>
          </cell>
          <cell r="Y141">
            <v>6960</v>
          </cell>
          <cell r="AC141">
            <v>6960</v>
          </cell>
          <cell r="AJ141">
            <v>6000</v>
          </cell>
        </row>
        <row r="142">
          <cell r="B142">
            <v>1811</v>
          </cell>
          <cell r="C142" t="str">
            <v>NCR</v>
          </cell>
          <cell r="D142" t="str">
            <v>Assets Shifting</v>
          </cell>
          <cell r="E142" t="str">
            <v> S1AWDD45</v>
          </cell>
          <cell r="F142">
            <v>45842</v>
          </cell>
          <cell r="G142" t="str">
            <v>SSS/2025-26/068</v>
          </cell>
          <cell r="H142" t="str">
            <v>Str8 &amp; Secure Services</v>
          </cell>
          <cell r="I142" t="str">
            <v>AQIPG2144B</v>
          </cell>
          <cell r="J142" t="str">
            <v>07AQIPG2144B1ZF</v>
          </cell>
          <cell r="K142" t="str">
            <v>Hdfc Bank Ltd., Azad Road, Opp. Axis Bank, Chandausi, Uttar Pradesh - 202412 </v>
          </cell>
          <cell r="L142" t="str">
            <v>Uttar Pradesh</v>
          </cell>
          <cell r="M142" t="str">
            <v>Hdfc Bank Ltd., Azad Road, Opp. Axis Bank, Chandausi, Uttar Pradesh - 202412 </v>
          </cell>
          <cell r="N142" t="str">
            <v>Uttar Pradesh</v>
          </cell>
          <cell r="O142" t="str">
            <v>Assets Shifting</v>
          </cell>
          <cell r="P142">
            <v>3500</v>
          </cell>
          <cell r="Q142">
            <v>0</v>
          </cell>
          <cell r="R142">
            <v>0</v>
          </cell>
          <cell r="S142">
            <v>0</v>
          </cell>
          <cell r="T142">
            <v>630</v>
          </cell>
          <cell r="U142">
            <v>0</v>
          </cell>
          <cell r="V142">
            <v>4130</v>
          </cell>
          <cell r="W142">
            <v>70</v>
          </cell>
          <cell r="X142">
            <v>0.02</v>
          </cell>
          <cell r="Y142">
            <v>4060</v>
          </cell>
          <cell r="AC142">
            <v>4060</v>
          </cell>
          <cell r="AJ142">
            <v>3500</v>
          </cell>
        </row>
        <row r="143">
          <cell r="B143">
            <v>1812</v>
          </cell>
          <cell r="C143" t="str">
            <v>NCR</v>
          </cell>
          <cell r="D143" t="str">
            <v>Assets Shifting</v>
          </cell>
          <cell r="E143" t="str">
            <v>CHCHA002</v>
          </cell>
          <cell r="F143">
            <v>45842</v>
          </cell>
          <cell r="G143" t="str">
            <v>SSS/2025-26/068</v>
          </cell>
          <cell r="H143" t="str">
            <v>Str8 &amp; Secure Services</v>
          </cell>
          <cell r="I143" t="str">
            <v>AQIPG2144B</v>
          </cell>
          <cell r="J143" t="str">
            <v>07AQIPG2144B1ZF</v>
          </cell>
          <cell r="K143" t="str">
            <v>Hdfc Bank Ltd., Azad Road, Opp. Axis Bank, Chandausi, Uttar Pradesh - 202412 </v>
          </cell>
          <cell r="L143" t="str">
            <v>Uttar Pradesh</v>
          </cell>
          <cell r="M143" t="str">
            <v>Hdfc Bank Ltd., Azad Road, Opp. Axis Bank, Chandausi, Uttar Pradesh - 202412 </v>
          </cell>
          <cell r="N143" t="str">
            <v>Uttar Pradesh</v>
          </cell>
          <cell r="O143" t="str">
            <v>Assets Shifting</v>
          </cell>
          <cell r="P143">
            <v>3500</v>
          </cell>
          <cell r="Q143">
            <v>0</v>
          </cell>
          <cell r="R143">
            <v>0</v>
          </cell>
          <cell r="S143">
            <v>0</v>
          </cell>
          <cell r="T143">
            <v>630</v>
          </cell>
          <cell r="U143">
            <v>0</v>
          </cell>
          <cell r="V143">
            <v>4130</v>
          </cell>
          <cell r="W143">
            <v>70</v>
          </cell>
          <cell r="X143">
            <v>0.02</v>
          </cell>
          <cell r="Y143">
            <v>4060</v>
          </cell>
          <cell r="AC143">
            <v>4060</v>
          </cell>
          <cell r="AJ143">
            <v>3500</v>
          </cell>
        </row>
        <row r="144">
          <cell r="B144">
            <v>1815</v>
          </cell>
          <cell r="C144" t="str">
            <v>NCR</v>
          </cell>
          <cell r="D144" t="str">
            <v>Assets Shifting</v>
          </cell>
          <cell r="E144" t="str">
            <v>MPZ15080</v>
          </cell>
          <cell r="F144">
            <v>45842</v>
          </cell>
          <cell r="G144" t="str">
            <v>SSS/2025-26/069</v>
          </cell>
          <cell r="H144" t="str">
            <v>Str8 &amp; Secure Services</v>
          </cell>
          <cell r="I144" t="str">
            <v>AQIPG2144B</v>
          </cell>
          <cell r="J144" t="str">
            <v>07AQIPG2144B1ZF</v>
          </cell>
          <cell r="K144" t="str">
            <v>720,sector 13,karnal,haryana 132001,india</v>
          </cell>
          <cell r="L144" t="str">
            <v>Haryana</v>
          </cell>
          <cell r="M144" t="str">
            <v>Plot no 123, Sector 56 Phase IV, Industrial estate, kundli sonipat, sonipat, Haryana, 131028</v>
          </cell>
          <cell r="N144" t="str">
            <v>Haryana</v>
          </cell>
          <cell r="O144" t="str">
            <v>Assets Shifting</v>
          </cell>
          <cell r="P144">
            <v>15000</v>
          </cell>
          <cell r="Q144">
            <v>0</v>
          </cell>
          <cell r="R144">
            <v>0</v>
          </cell>
          <cell r="S144">
            <v>0</v>
          </cell>
          <cell r="T144">
            <v>2700</v>
          </cell>
          <cell r="U144">
            <v>0</v>
          </cell>
          <cell r="V144">
            <v>17700</v>
          </cell>
          <cell r="W144">
            <v>300</v>
          </cell>
          <cell r="X144">
            <v>0.02</v>
          </cell>
          <cell r="Y144">
            <v>17400</v>
          </cell>
          <cell r="AC144">
            <v>17400</v>
          </cell>
          <cell r="AJ144">
            <v>15000</v>
          </cell>
        </row>
        <row r="145">
          <cell r="B145">
            <v>1814</v>
          </cell>
          <cell r="C145" t="str">
            <v>HItachi</v>
          </cell>
          <cell r="D145" t="str">
            <v>Assets Shifting</v>
          </cell>
          <cell r="E145" t="str">
            <v>MCRM4164</v>
          </cell>
          <cell r="F145">
            <v>45842</v>
          </cell>
          <cell r="G145" t="str">
            <v>SSS/2025-26/061</v>
          </cell>
          <cell r="H145" t="str">
            <v>Str8 &amp; Secure Services</v>
          </cell>
          <cell r="I145" t="str">
            <v>AQIPG2144B</v>
          </cell>
          <cell r="J145" t="str">
            <v>07AQIPG2144B1ZF</v>
          </cell>
          <cell r="K145" t="str">
            <v>Jiya Hp Gas Agency Vatadra Near Jay Ambe Colony Pencil Khambha Pin Code 388580</v>
          </cell>
          <cell r="L145" t="str">
            <v>Gujarat</v>
          </cell>
          <cell r="M145" t="str">
            <v>Kishore Bagai Transport, l-2 Jai Mata Di Compound , 2nd left next to Hetvi Textile, Kalher Bhiwandi, Maharashtra - 421302</v>
          </cell>
          <cell r="N145" t="str">
            <v>Maharashtra</v>
          </cell>
          <cell r="O145" t="str">
            <v>Assets Shifting</v>
          </cell>
          <cell r="P145">
            <v>20000</v>
          </cell>
          <cell r="Q145">
            <v>0</v>
          </cell>
          <cell r="R145">
            <v>0</v>
          </cell>
          <cell r="S145">
            <v>0</v>
          </cell>
          <cell r="T145">
            <v>3600</v>
          </cell>
          <cell r="U145">
            <v>0</v>
          </cell>
          <cell r="V145">
            <v>23600</v>
          </cell>
          <cell r="W145">
            <v>400</v>
          </cell>
          <cell r="X145">
            <v>0.02</v>
          </cell>
          <cell r="Y145">
            <v>23200</v>
          </cell>
          <cell r="AC145">
            <v>23200</v>
          </cell>
          <cell r="AJ145">
            <v>20000</v>
          </cell>
        </row>
        <row r="146">
          <cell r="B146">
            <v>1810</v>
          </cell>
          <cell r="C146" t="str">
            <v>HItachi</v>
          </cell>
          <cell r="D146" t="str">
            <v>Assets Shifting</v>
          </cell>
          <cell r="E146" t="str">
            <v>MPZ04185</v>
          </cell>
          <cell r="F146">
            <v>45842</v>
          </cell>
          <cell r="G146" t="str">
            <v>SSS/2025-26/058</v>
          </cell>
          <cell r="H146" t="str">
            <v>Str8 &amp; Secure Services</v>
          </cell>
          <cell r="I146" t="str">
            <v>AQIPG2144B</v>
          </cell>
          <cell r="J146" t="str">
            <v>07AQIPG2144B1ZF</v>
          </cell>
          <cell r="K146" t="str">
            <v>Buldhana Urban Co-Op Bank, Rehman Gunj Rd, Gajanan Colony, Modikhana, Jalna, Maharashtra 431203</v>
          </cell>
          <cell r="L146" t="str">
            <v>Maharashtra</v>
          </cell>
          <cell r="M146" t="str">
            <v>Plot no 123, Sector 56 Phase IV, Industrial estate, kundli sonipat, sonipat, Haryana, 131028</v>
          </cell>
          <cell r="N146" t="str">
            <v>Haryana</v>
          </cell>
          <cell r="O146" t="str">
            <v>Assets Shifting</v>
          </cell>
          <cell r="P146">
            <v>21000</v>
          </cell>
          <cell r="Q146">
            <v>0</v>
          </cell>
          <cell r="R146">
            <v>0</v>
          </cell>
          <cell r="S146">
            <v>0</v>
          </cell>
          <cell r="T146">
            <v>3780</v>
          </cell>
          <cell r="U146">
            <v>0</v>
          </cell>
          <cell r="V146">
            <v>24780</v>
          </cell>
          <cell r="W146">
            <v>420</v>
          </cell>
          <cell r="X146">
            <v>0.02</v>
          </cell>
          <cell r="Y146">
            <v>24360</v>
          </cell>
          <cell r="AC146">
            <v>24360</v>
          </cell>
          <cell r="AJ146">
            <v>21000</v>
          </cell>
        </row>
        <row r="147">
          <cell r="B147">
            <v>1809</v>
          </cell>
          <cell r="C147" t="str">
            <v>HItachi</v>
          </cell>
          <cell r="D147" t="str">
            <v>Assets Shifting</v>
          </cell>
          <cell r="E147" t="str">
            <v>MPZ08881</v>
          </cell>
          <cell r="F147">
            <v>45842</v>
          </cell>
          <cell r="G147" t="str">
            <v>SSS/2025-26/059</v>
          </cell>
          <cell r="H147" t="str">
            <v>Str8 &amp; Secure Services</v>
          </cell>
          <cell r="I147" t="str">
            <v>AQIPG2144B</v>
          </cell>
          <cell r="J147" t="str">
            <v>07AQIPG2144B1ZF</v>
          </cell>
          <cell r="K147" t="str">
            <v>Kamkhedkar Complex, Patil Chowk, Ambejogai , Bid.</v>
          </cell>
          <cell r="L147" t="str">
            <v>Maharashtra</v>
          </cell>
          <cell r="M147" t="str">
            <v>Plot no 123, Sector 56 Phase IV, Industrial estate, kundli sonipat, sonipat, Haryana, 131028</v>
          </cell>
          <cell r="N147" t="str">
            <v>Haryana</v>
          </cell>
          <cell r="O147" t="str">
            <v>Assets Shifting</v>
          </cell>
          <cell r="P147">
            <v>21000</v>
          </cell>
          <cell r="Q147">
            <v>0</v>
          </cell>
          <cell r="R147">
            <v>0</v>
          </cell>
          <cell r="S147">
            <v>0</v>
          </cell>
          <cell r="T147">
            <v>3780</v>
          </cell>
          <cell r="U147">
            <v>0</v>
          </cell>
          <cell r="V147">
            <v>24780</v>
          </cell>
          <cell r="W147">
            <v>420</v>
          </cell>
          <cell r="X147">
            <v>0.02</v>
          </cell>
          <cell r="Y147">
            <v>24360</v>
          </cell>
          <cell r="AC147">
            <v>24360</v>
          </cell>
          <cell r="AJ147">
            <v>21000</v>
          </cell>
        </row>
        <row r="148">
          <cell r="B148">
            <v>1808</v>
          </cell>
          <cell r="C148" t="str">
            <v>HItachi</v>
          </cell>
          <cell r="D148" t="str">
            <v>Assets Shifting</v>
          </cell>
          <cell r="E148" t="str">
            <v>MPZ08831</v>
          </cell>
          <cell r="F148">
            <v>45842</v>
          </cell>
          <cell r="G148" t="str">
            <v>SSS/2025-26/060</v>
          </cell>
          <cell r="H148" t="str">
            <v>Str8 &amp; Secure Services</v>
          </cell>
          <cell r="I148" t="str">
            <v>AQIPG2144B</v>
          </cell>
          <cell r="J148" t="str">
            <v>07AQIPG2144B1ZF</v>
          </cell>
          <cell r="K148" t="str">
            <v>Unde Complex , Near Dhmyaneshwar Theatre , Navi Peth Rahuri.</v>
          </cell>
          <cell r="L148" t="str">
            <v>Maharashtra</v>
          </cell>
          <cell r="M148" t="str">
            <v>Plot no 123, Sector 56 Phase IV, Industrial estate, kundli sonipat, sonipat, Haryana, 131028</v>
          </cell>
          <cell r="N148" t="str">
            <v>Haryana</v>
          </cell>
          <cell r="O148" t="str">
            <v>Assets Shifting</v>
          </cell>
          <cell r="P148">
            <v>21000</v>
          </cell>
          <cell r="Q148">
            <v>0</v>
          </cell>
          <cell r="R148">
            <v>0</v>
          </cell>
          <cell r="S148">
            <v>0</v>
          </cell>
          <cell r="T148">
            <v>3780</v>
          </cell>
          <cell r="U148">
            <v>0</v>
          </cell>
          <cell r="V148">
            <v>24780</v>
          </cell>
          <cell r="W148">
            <v>420</v>
          </cell>
          <cell r="X148">
            <v>0.02</v>
          </cell>
          <cell r="Y148">
            <v>24360</v>
          </cell>
          <cell r="AC148">
            <v>24360</v>
          </cell>
          <cell r="AJ148">
            <v>21000</v>
          </cell>
        </row>
        <row r="149">
          <cell r="B149">
            <v>1868</v>
          </cell>
          <cell r="C149" t="str">
            <v>NCR</v>
          </cell>
          <cell r="D149" t="str">
            <v>Assets Shifting</v>
          </cell>
          <cell r="E149" t="str">
            <v>MPZ12458</v>
          </cell>
          <cell r="F149">
            <v>45842</v>
          </cell>
          <cell r="G149" t="str">
            <v>SSS/2025-26/068</v>
          </cell>
          <cell r="H149" t="str">
            <v>Str8 &amp; Secure Services</v>
          </cell>
          <cell r="I149" t="str">
            <v>AQIPG2144B</v>
          </cell>
          <cell r="J149" t="str">
            <v>07AQIPG2144B1ZF</v>
          </cell>
          <cell r="K149" t="str">
            <v>Shop At Near Government School, Village Bublheri Pinagwan Muh Mewat Hr 122508</v>
          </cell>
          <cell r="L149" t="str">
            <v>Haryana</v>
          </cell>
          <cell r="M149" t="str">
            <v>SHOP NO.1, KHAJURI YMG RD, SEC-3, RAIPUR,YAMUNANAGAR,135001</v>
          </cell>
          <cell r="N149" t="str">
            <v>Haryana</v>
          </cell>
          <cell r="O149" t="str">
            <v>Assets Shifting</v>
          </cell>
          <cell r="P149">
            <v>16000</v>
          </cell>
          <cell r="Q149">
            <v>0</v>
          </cell>
          <cell r="R149">
            <v>0</v>
          </cell>
          <cell r="S149">
            <v>0</v>
          </cell>
          <cell r="T149">
            <v>2880</v>
          </cell>
          <cell r="U149">
            <v>0</v>
          </cell>
          <cell r="V149">
            <v>18880</v>
          </cell>
          <cell r="W149">
            <v>320</v>
          </cell>
          <cell r="X149">
            <v>0.02</v>
          </cell>
          <cell r="Y149">
            <v>18560</v>
          </cell>
          <cell r="AC149">
            <v>18560</v>
          </cell>
          <cell r="AJ149">
            <v>16000</v>
          </cell>
        </row>
        <row r="150">
          <cell r="B150">
            <v>1838</v>
          </cell>
          <cell r="C150" t="str">
            <v>NCR</v>
          </cell>
          <cell r="D150" t="str">
            <v>Assets Shifting</v>
          </cell>
          <cell r="E150" t="str">
            <v>MPZ10020</v>
          </cell>
          <cell r="F150">
            <v>45842</v>
          </cell>
          <cell r="G150" t="str">
            <v>SSS/2025-26/070</v>
          </cell>
          <cell r="H150" t="str">
            <v>Str8 &amp; Secure Services</v>
          </cell>
          <cell r="I150" t="str">
            <v>AQIPG2144B</v>
          </cell>
          <cell r="J150" t="str">
            <v>07AQIPG2144B1ZF</v>
          </cell>
          <cell r="K150" t="str">
            <v>AT KAPADIVAV CHOKADI, PO CHIKHLOAD TAL- KAPADVANJ, Gujrat 387640</v>
          </cell>
          <cell r="L150" t="str">
            <v>Gujarat</v>
          </cell>
          <cell r="M150" t="str">
            <v>Kishore Bagai Transport, l-2 Jai Mata Di Compound , 2nd left next to Hetvi Textile, Kalher Bhiwandi, Maharashtra - 421302</v>
          </cell>
          <cell r="N150" t="str">
            <v>Maharashtra</v>
          </cell>
          <cell r="O150" t="str">
            <v>Assets Shifting</v>
          </cell>
          <cell r="P150">
            <v>19000</v>
          </cell>
          <cell r="Q150">
            <v>0</v>
          </cell>
          <cell r="R150">
            <v>0</v>
          </cell>
          <cell r="S150">
            <v>0</v>
          </cell>
          <cell r="T150">
            <v>3420</v>
          </cell>
          <cell r="U150">
            <v>0</v>
          </cell>
          <cell r="V150">
            <v>22420</v>
          </cell>
          <cell r="W150">
            <v>380</v>
          </cell>
          <cell r="X150">
            <v>0.02</v>
          </cell>
          <cell r="Y150">
            <v>22040</v>
          </cell>
          <cell r="AC150">
            <v>22040</v>
          </cell>
          <cell r="AJ150">
            <v>19000</v>
          </cell>
        </row>
        <row r="151">
          <cell r="B151" t="str">
            <v>NA</v>
          </cell>
          <cell r="C151" t="str">
            <v>UNV</v>
          </cell>
          <cell r="D151" t="str">
            <v>Assets Shifting</v>
          </cell>
          <cell r="E151" t="str">
            <v>MPB02051</v>
          </cell>
          <cell r="F151">
            <v>45842</v>
          </cell>
          <cell r="G151" t="str">
            <v>SSS/2025-26/073</v>
          </cell>
          <cell r="H151" t="str">
            <v>Str8 &amp; Secure Services</v>
          </cell>
          <cell r="I151" t="str">
            <v>AQIPG2144B</v>
          </cell>
          <cell r="J151" t="str">
            <v>07AQIPG2144B1ZF</v>
          </cell>
          <cell r="K151" t="str">
            <v>Khali Rasta Highway, Char gujarat patan SH 41 Ahmedabad-Patan Highway road Sidhpur Gujarat</v>
          </cell>
          <cell r="L151" t="str">
            <v>Gujarat</v>
          </cell>
          <cell r="M151" t="str">
            <v>Kishore Bagai Transport, l-2 Jai Mata Di Compound , 2nd left next to Hetvi Textile, Kalher Bhiwandi, Maharashtra - 421302</v>
          </cell>
          <cell r="N151" t="str">
            <v>Maharashtra</v>
          </cell>
          <cell r="O151" t="str">
            <v>Assets Shifting</v>
          </cell>
          <cell r="P151">
            <v>18000</v>
          </cell>
          <cell r="Q151">
            <v>0</v>
          </cell>
          <cell r="R151">
            <v>0</v>
          </cell>
          <cell r="S151">
            <v>0</v>
          </cell>
          <cell r="T151">
            <v>3240</v>
          </cell>
          <cell r="U151">
            <v>0</v>
          </cell>
          <cell r="V151">
            <v>21240</v>
          </cell>
          <cell r="W151">
            <v>360</v>
          </cell>
          <cell r="X151">
            <v>0.02</v>
          </cell>
          <cell r="Y151">
            <v>20880</v>
          </cell>
          <cell r="AC151">
            <v>20880</v>
          </cell>
          <cell r="AJ151">
            <v>18000</v>
          </cell>
        </row>
        <row r="152">
          <cell r="B152">
            <v>1834</v>
          </cell>
          <cell r="C152" t="str">
            <v>Hitachi</v>
          </cell>
          <cell r="D152" t="str">
            <v>Assets Shifting</v>
          </cell>
          <cell r="E152" t="str">
            <v>MCRM4844</v>
          </cell>
          <cell r="F152">
            <v>45842</v>
          </cell>
          <cell r="G152" t="str">
            <v>SSS/2025-26/062</v>
          </cell>
          <cell r="H152" t="str">
            <v>Str8 &amp; Secure Services</v>
          </cell>
          <cell r="I152" t="str">
            <v>AQIPG2144B</v>
          </cell>
          <cell r="J152" t="str">
            <v>07AQIPG2144B1ZF</v>
          </cell>
          <cell r="K152" t="str">
            <v>G16 sidhi vinayak resindecy near yes bank 4 rasta sachin, Surat -394230 Gujarat</v>
          </cell>
          <cell r="L152" t="str">
            <v>Gujarat</v>
          </cell>
          <cell r="M152" t="str">
            <v>Kishore Bagai Transport, l-2 Jai Mata Di Compound , 2nd left next to Hetvi Textile, Kalher Bhiwandi, Maharashtra - 421302</v>
          </cell>
          <cell r="N152" t="str">
            <v>Maharashtra</v>
          </cell>
          <cell r="O152" t="str">
            <v>Assets Shifting</v>
          </cell>
          <cell r="P152">
            <v>20000</v>
          </cell>
          <cell r="Q152">
            <v>0</v>
          </cell>
          <cell r="R152">
            <v>0</v>
          </cell>
          <cell r="S152">
            <v>0</v>
          </cell>
          <cell r="T152">
            <v>3600</v>
          </cell>
          <cell r="U152">
            <v>0</v>
          </cell>
          <cell r="V152">
            <v>23600</v>
          </cell>
          <cell r="W152">
            <v>400</v>
          </cell>
          <cell r="X152">
            <v>0.02</v>
          </cell>
          <cell r="Y152">
            <v>23200</v>
          </cell>
          <cell r="AC152">
            <v>23200</v>
          </cell>
          <cell r="AJ152">
            <v>20000</v>
          </cell>
        </row>
        <row r="153">
          <cell r="B153">
            <v>1841</v>
          </cell>
          <cell r="C153" t="str">
            <v>Hitachi</v>
          </cell>
          <cell r="D153" t="str">
            <v>Assets Shifting</v>
          </cell>
          <cell r="E153">
            <v>201419674</v>
          </cell>
          <cell r="F153">
            <v>45842</v>
          </cell>
          <cell r="G153" t="str">
            <v>SSS/2025-26/057</v>
          </cell>
          <cell r="H153" t="str">
            <v>Str8 &amp; Secure Services</v>
          </cell>
          <cell r="I153" t="str">
            <v>AQIPG2144B</v>
          </cell>
          <cell r="J153" t="str">
            <v>07AQIPG2144B1ZF</v>
          </cell>
          <cell r="K153" t="str">
            <v>B-11, Saurashtra Residency, Pasodara Gam, Kamrej, Surat, Gujrat 395006.</v>
          </cell>
          <cell r="L153" t="str">
            <v>Gujarat</v>
          </cell>
          <cell r="M153" t="str">
            <v>Kishore Bagai Transport, l-2 Jai Mata Di Compound , 2nd left next to Hetvi Textile, Kalher Bhiwandi, Maharashtra - 421302</v>
          </cell>
          <cell r="N153" t="str">
            <v>Maharashtra</v>
          </cell>
          <cell r="O153" t="str">
            <v>Assets Shifting</v>
          </cell>
          <cell r="P153">
            <v>2000</v>
          </cell>
          <cell r="Q153">
            <v>0</v>
          </cell>
          <cell r="R153">
            <v>0</v>
          </cell>
          <cell r="S153">
            <v>0</v>
          </cell>
          <cell r="T153">
            <v>360</v>
          </cell>
          <cell r="U153">
            <v>0</v>
          </cell>
          <cell r="V153">
            <v>2360</v>
          </cell>
          <cell r="W153">
            <v>40</v>
          </cell>
          <cell r="X153">
            <v>0.02</v>
          </cell>
          <cell r="Y153">
            <v>2320</v>
          </cell>
          <cell r="AC153">
            <v>2320</v>
          </cell>
          <cell r="AJ153">
            <v>2000</v>
          </cell>
        </row>
        <row r="154">
          <cell r="B154">
            <v>1854</v>
          </cell>
          <cell r="C154" t="str">
            <v>Hitachi</v>
          </cell>
          <cell r="D154" t="str">
            <v>Assets Shifting</v>
          </cell>
          <cell r="E154" t="str">
            <v>MPZ14576</v>
          </cell>
          <cell r="F154">
            <v>45842</v>
          </cell>
          <cell r="G154" t="str">
            <v>SSS/2025-26/064</v>
          </cell>
          <cell r="H154" t="str">
            <v>Str8 &amp; Secure Services</v>
          </cell>
          <cell r="I154" t="str">
            <v>AQIPG2144B</v>
          </cell>
          <cell r="J154" t="str">
            <v>07AQIPG2144B1ZF</v>
          </cell>
          <cell r="K154" t="str">
            <v>SHOP NO 2,NILOKHERI ROAD,NEAR AXIS BANK,SANDHIR,DISTT KARNAL,HARYANA,INDIA</v>
          </cell>
          <cell r="L154" t="str">
            <v>Haryana</v>
          </cell>
          <cell r="M154" t="str">
            <v>Plot no 123, Sector 56 Phase IV, Industrial estate, kundli sonipat, sonipat, Haryana, 131028</v>
          </cell>
          <cell r="N154" t="str">
            <v>Haryana</v>
          </cell>
          <cell r="O154" t="str">
            <v>Assets Shifting</v>
          </cell>
          <cell r="P154">
            <v>15500</v>
          </cell>
          <cell r="Q154">
            <v>0</v>
          </cell>
          <cell r="R154">
            <v>0</v>
          </cell>
          <cell r="S154">
            <v>0</v>
          </cell>
          <cell r="T154">
            <v>2790</v>
          </cell>
          <cell r="U154">
            <v>0</v>
          </cell>
          <cell r="V154">
            <v>18290</v>
          </cell>
          <cell r="W154">
            <v>310</v>
          </cell>
          <cell r="X154">
            <v>0.02</v>
          </cell>
          <cell r="Y154">
            <v>17980</v>
          </cell>
          <cell r="AC154">
            <v>17980</v>
          </cell>
          <cell r="AJ154">
            <v>15500</v>
          </cell>
        </row>
        <row r="155">
          <cell r="B155">
            <v>1855</v>
          </cell>
          <cell r="C155" t="str">
            <v>Hitachi</v>
          </cell>
          <cell r="D155" t="str">
            <v>Assets Shifting</v>
          </cell>
          <cell r="E155" t="str">
            <v>MCRM6942</v>
          </cell>
          <cell r="F155">
            <v>45842</v>
          </cell>
          <cell r="G155" t="str">
            <v>SSS/2025-26/065</v>
          </cell>
          <cell r="H155" t="str">
            <v>Str8 &amp; Secure Services</v>
          </cell>
          <cell r="I155" t="str">
            <v>AQIPG2144B</v>
          </cell>
          <cell r="J155" t="str">
            <v>07AQIPG2144B1ZF</v>
          </cell>
          <cell r="K155" t="str">
            <v>Shop No 3 Cheeka Near Icici Bank Kaithal</v>
          </cell>
          <cell r="L155" t="str">
            <v>Haryana</v>
          </cell>
          <cell r="M155" t="str">
            <v>Plot no 123, Sector 56 Phase IV, Industrial estate, kundli sonipat, sonipat, Haryana, 131028</v>
          </cell>
          <cell r="N155" t="str">
            <v>Haryana</v>
          </cell>
          <cell r="O155" t="str">
            <v>Assets Shifting</v>
          </cell>
          <cell r="P155">
            <v>17000</v>
          </cell>
          <cell r="Q155">
            <v>0</v>
          </cell>
          <cell r="R155">
            <v>0</v>
          </cell>
          <cell r="S155">
            <v>0</v>
          </cell>
          <cell r="T155">
            <v>3060</v>
          </cell>
          <cell r="U155">
            <v>0</v>
          </cell>
          <cell r="V155">
            <v>20060</v>
          </cell>
          <cell r="W155">
            <v>340</v>
          </cell>
          <cell r="X155">
            <v>0.02</v>
          </cell>
          <cell r="Y155">
            <v>19720</v>
          </cell>
          <cell r="AC155">
            <v>19720</v>
          </cell>
          <cell r="AJ155">
            <v>17000</v>
          </cell>
        </row>
        <row r="156">
          <cell r="B156">
            <v>1851</v>
          </cell>
          <cell r="C156" t="str">
            <v>Hitachi</v>
          </cell>
          <cell r="D156" t="str">
            <v>Assets Shifting</v>
          </cell>
          <cell r="E156" t="str">
            <v>MPZ10238</v>
          </cell>
          <cell r="F156">
            <v>45842</v>
          </cell>
          <cell r="G156" t="str">
            <v>SSS/2025-26/063</v>
          </cell>
          <cell r="H156" t="str">
            <v>Str8 &amp; Secure Services</v>
          </cell>
          <cell r="I156" t="str">
            <v>AQIPG2144B</v>
          </cell>
          <cell r="J156" t="str">
            <v>07AQIPG2144B1ZF</v>
          </cell>
          <cell r="K156" t="str">
            <v>Shajanand Online Center Kansa Visnagar 384315</v>
          </cell>
          <cell r="L156" t="str">
            <v>Gujarat</v>
          </cell>
          <cell r="M156" t="str">
            <v>Plot no 123, Sector 56 Phase IV, Industrial estate, kundli sonipat, sonipat, Haryana, 131028</v>
          </cell>
          <cell r="N156" t="str">
            <v>Haryana</v>
          </cell>
          <cell r="O156" t="str">
            <v>Assets Shifting</v>
          </cell>
          <cell r="P156">
            <v>21000</v>
          </cell>
          <cell r="Q156">
            <v>0</v>
          </cell>
          <cell r="R156">
            <v>0</v>
          </cell>
          <cell r="S156">
            <v>0</v>
          </cell>
          <cell r="T156">
            <v>3780</v>
          </cell>
          <cell r="U156">
            <v>0</v>
          </cell>
          <cell r="V156">
            <v>24780</v>
          </cell>
          <cell r="W156">
            <v>420</v>
          </cell>
          <cell r="X156">
            <v>0.02</v>
          </cell>
          <cell r="Y156">
            <v>24360</v>
          </cell>
          <cell r="AC156">
            <v>24360</v>
          </cell>
          <cell r="AJ156">
            <v>21000</v>
          </cell>
        </row>
        <row r="157">
          <cell r="B157">
            <v>1863</v>
          </cell>
          <cell r="C157" t="str">
            <v>NCR</v>
          </cell>
          <cell r="D157" t="str">
            <v>Assets Shifting</v>
          </cell>
          <cell r="E157" t="str">
            <v>6NRADHAN02</v>
          </cell>
          <cell r="F157">
            <v>45842</v>
          </cell>
          <cell r="G157" t="str">
            <v>SSS/2025-26/068</v>
          </cell>
          <cell r="H157" t="str">
            <v>Str8 &amp; Secure Services</v>
          </cell>
          <cell r="I157" t="str">
            <v>AQIPG2144B</v>
          </cell>
          <cell r="J157" t="str">
            <v>07AQIPG2144B1ZF</v>
          </cell>
          <cell r="K157" t="str">
            <v>RADHAN  NR. PATTANI DARWAJA  RADHANPUR  PATAN  GUJARAT  PIN- 385340</v>
          </cell>
          <cell r="L157" t="str">
            <v>Gujarat</v>
          </cell>
          <cell r="M157" t="str">
            <v>SUKHAMRUT COMMERCIAL COMPLEX, OPP   OLD NAROL COURT, NAROL ASLALI ROAD, NAROL, AHMEDABAD-382405</v>
          </cell>
          <cell r="N157" t="str">
            <v>Gujarat</v>
          </cell>
          <cell r="O157" t="str">
            <v>Assets Shifting</v>
          </cell>
          <cell r="P157">
            <v>9500</v>
          </cell>
          <cell r="Q157">
            <v>0</v>
          </cell>
          <cell r="R157">
            <v>0</v>
          </cell>
          <cell r="S157">
            <v>0</v>
          </cell>
          <cell r="T157">
            <v>1710</v>
          </cell>
          <cell r="U157">
            <v>0</v>
          </cell>
          <cell r="V157">
            <v>11210</v>
          </cell>
          <cell r="W157">
            <v>190</v>
          </cell>
          <cell r="X157">
            <v>0.02</v>
          </cell>
          <cell r="Y157">
            <v>11020</v>
          </cell>
          <cell r="AC157">
            <v>11020</v>
          </cell>
          <cell r="AJ157">
            <v>9500</v>
          </cell>
        </row>
        <row r="158">
          <cell r="B158">
            <v>1859</v>
          </cell>
          <cell r="C158" t="str">
            <v>NCR</v>
          </cell>
          <cell r="D158" t="str">
            <v>Assets Shifting</v>
          </cell>
          <cell r="E158" t="str">
            <v>6FNAKKHA01</v>
          </cell>
          <cell r="F158">
            <v>45842</v>
          </cell>
          <cell r="G158" t="str">
            <v>SSS/2025-26/068</v>
          </cell>
          <cell r="H158" t="str">
            <v>Str8 &amp; Secure Services</v>
          </cell>
          <cell r="I158" t="str">
            <v>AQIPG2144B</v>
          </cell>
          <cell r="J158" t="str">
            <v>07AQIPG2144B1ZF</v>
          </cell>
          <cell r="K158" t="str">
            <v>Sai Kripa Bhawan, 104 Nadan Mahal Road Aminabad Lucknow uttar pradesh226003</v>
          </cell>
          <cell r="L158" t="str">
            <v>Uttar Pradesh</v>
          </cell>
          <cell r="M158" t="str">
            <v>336/121 Kaizmain Road Sahadatganj Lucknow Uttar Pradesh 226003</v>
          </cell>
          <cell r="N158" t="str">
            <v>Uttar Pradesh</v>
          </cell>
          <cell r="O158" t="str">
            <v>Assets Shifting</v>
          </cell>
          <cell r="P158">
            <v>7000</v>
          </cell>
          <cell r="Q158">
            <v>0</v>
          </cell>
          <cell r="R158">
            <v>0</v>
          </cell>
          <cell r="S158">
            <v>0</v>
          </cell>
          <cell r="T158">
            <v>1260</v>
          </cell>
          <cell r="U158">
            <v>0</v>
          </cell>
          <cell r="V158">
            <v>8260</v>
          </cell>
          <cell r="W158">
            <v>140</v>
          </cell>
          <cell r="X158">
            <v>0.02</v>
          </cell>
          <cell r="Y158">
            <v>8120</v>
          </cell>
          <cell r="AC158">
            <v>8120</v>
          </cell>
          <cell r="AJ158">
            <v>7000</v>
          </cell>
        </row>
        <row r="159">
          <cell r="B159">
            <v>1861</v>
          </cell>
          <cell r="C159" t="str">
            <v>NCR</v>
          </cell>
          <cell r="D159" t="str">
            <v>Assets Shifting</v>
          </cell>
          <cell r="E159" t="str">
            <v>6FNAKKHA01</v>
          </cell>
          <cell r="F159">
            <v>45842</v>
          </cell>
          <cell r="G159" t="str">
            <v>SSS/2025-26/071</v>
          </cell>
          <cell r="H159" t="str">
            <v>Str8 &amp; Secure Services</v>
          </cell>
          <cell r="I159" t="str">
            <v>AQIPG2144B</v>
          </cell>
          <cell r="J159" t="str">
            <v>07AQIPG2144B1ZF</v>
          </cell>
          <cell r="K159" t="str">
            <v>Sai Kripa Bhawan, 104 Nadan Mahal Road Aminabad Lucknow uttar pradesh226003</v>
          </cell>
          <cell r="L159" t="str">
            <v>Uttar Pradesh</v>
          </cell>
          <cell r="M159" t="str">
            <v>Balkishan Radha Enclave, Sabahaour Road, Inaam Vihar, Loni, Ghaziabad-201102</v>
          </cell>
          <cell r="N159" t="str">
            <v>Uttar Pradesh</v>
          </cell>
          <cell r="O159" t="str">
            <v>Assets Shifting</v>
          </cell>
          <cell r="P159">
            <v>5000</v>
          </cell>
          <cell r="Q159">
            <v>0</v>
          </cell>
          <cell r="R159">
            <v>0</v>
          </cell>
          <cell r="S159">
            <v>0</v>
          </cell>
          <cell r="T159">
            <v>900</v>
          </cell>
          <cell r="U159">
            <v>0</v>
          </cell>
          <cell r="V159">
            <v>5900</v>
          </cell>
          <cell r="W159">
            <v>100</v>
          </cell>
          <cell r="X159">
            <v>0.02</v>
          </cell>
          <cell r="Y159">
            <v>5800</v>
          </cell>
          <cell r="AC159">
            <v>5800</v>
          </cell>
          <cell r="AJ159">
            <v>5000</v>
          </cell>
        </row>
        <row r="160">
          <cell r="B160">
            <v>1874</v>
          </cell>
          <cell r="C160" t="str">
            <v>Hitachi</v>
          </cell>
          <cell r="D160" t="str">
            <v>Assets Shifting</v>
          </cell>
          <cell r="E160" t="str">
            <v>S1CNR599</v>
          </cell>
          <cell r="F160">
            <v>45842</v>
          </cell>
          <cell r="G160" t="str">
            <v>SSS/2025-26/056</v>
          </cell>
          <cell r="H160" t="str">
            <v>Str8 &amp; Secure Services</v>
          </cell>
          <cell r="I160" t="str">
            <v>AQIPG2144B</v>
          </cell>
          <cell r="J160" t="str">
            <v>07AQIPG2144B1ZF</v>
          </cell>
          <cell r="K160" t="str">
            <v>ICICI Bank ATM , Shop. No.Gf-4, Center Point, Nr. Gidc Police Station, B/H, Sardar Park Chokdi, Sardar Park, Anklesh</v>
          </cell>
          <cell r="L160" t="str">
            <v>Gujarat</v>
          </cell>
          <cell r="M160" t="str">
            <v>ICICI Bank Ltd, Plot No. 5701-B, GIDC Estate, Opp. Police Station, 14th E Road, Ankleshwar, Gujarat - 393002 </v>
          </cell>
          <cell r="N160" t="str">
            <v>Gujarat</v>
          </cell>
          <cell r="O160" t="str">
            <v>Assets Shifting</v>
          </cell>
          <cell r="P160">
            <v>8200</v>
          </cell>
          <cell r="Q160">
            <v>0</v>
          </cell>
          <cell r="R160">
            <v>0</v>
          </cell>
          <cell r="S160">
            <v>0</v>
          </cell>
          <cell r="T160">
            <v>1476</v>
          </cell>
          <cell r="U160">
            <v>0</v>
          </cell>
          <cell r="V160">
            <v>9676</v>
          </cell>
          <cell r="W160">
            <v>164</v>
          </cell>
          <cell r="X160">
            <v>0.02</v>
          </cell>
          <cell r="Y160">
            <v>9512</v>
          </cell>
          <cell r="AC160">
            <v>9512</v>
          </cell>
          <cell r="AJ160">
            <v>8200</v>
          </cell>
        </row>
        <row r="161">
          <cell r="B161">
            <v>1881</v>
          </cell>
          <cell r="C161" t="str">
            <v>NCR</v>
          </cell>
          <cell r="D161" t="str">
            <v>Assets Shifting</v>
          </cell>
          <cell r="E161" t="str">
            <v>MPB03115</v>
          </cell>
          <cell r="F161">
            <v>45842</v>
          </cell>
          <cell r="G161" t="str">
            <v>SSS/2025-26/072</v>
          </cell>
          <cell r="H161" t="str">
            <v>Str8 &amp; Secure Services</v>
          </cell>
          <cell r="I161" t="str">
            <v>AQIPG2144B</v>
          </cell>
          <cell r="J161" t="str">
            <v>07AQIPG2144B1ZF</v>
          </cell>
          <cell r="K161" t="str">
            <v>SIR SYED RD, FAME VILLA BLOCK F, JOGABAI EXTENSION, JAMIA NAGAR, OKHLA, NEW DELHI 110025</v>
          </cell>
          <cell r="L161" t="str">
            <v>Delhi</v>
          </cell>
          <cell r="M161" t="str">
            <v>Plot no 123, Sector 56 Phase IV, Industrial estate, kundli sonipat, sonipat, Haryana, 131028</v>
          </cell>
          <cell r="N161" t="str">
            <v>Haryana</v>
          </cell>
          <cell r="O161" t="str">
            <v>Assets Shifting</v>
          </cell>
          <cell r="P161">
            <v>16000</v>
          </cell>
          <cell r="Q161">
            <v>0</v>
          </cell>
          <cell r="R161">
            <v>0</v>
          </cell>
          <cell r="S161">
            <v>0</v>
          </cell>
          <cell r="T161">
            <v>2880</v>
          </cell>
          <cell r="U161">
            <v>0</v>
          </cell>
          <cell r="V161">
            <v>18880</v>
          </cell>
          <cell r="W161">
            <v>320</v>
          </cell>
          <cell r="X161">
            <v>0.02</v>
          </cell>
          <cell r="Y161">
            <v>18560</v>
          </cell>
          <cell r="AC161">
            <v>18560</v>
          </cell>
          <cell r="AJ161">
            <v>16000</v>
          </cell>
        </row>
        <row r="162">
          <cell r="B162" t="str">
            <v>NA</v>
          </cell>
          <cell r="C162" t="str">
            <v>UNV</v>
          </cell>
          <cell r="D162" t="str">
            <v>Assets Shifting</v>
          </cell>
          <cell r="E162" t="str">
            <v>MPB01030</v>
          </cell>
          <cell r="F162">
            <v>45842</v>
          </cell>
          <cell r="G162" t="str">
            <v>SSS/2025-26/074</v>
          </cell>
          <cell r="H162" t="str">
            <v>Str8 &amp; Secure Services</v>
          </cell>
          <cell r="I162" t="str">
            <v>AQIPG2144B</v>
          </cell>
          <cell r="J162" t="str">
            <v>07AQIPG2144B1ZF</v>
          </cell>
          <cell r="K162" t="str">
            <v>Rs no 156 Block no 188, old ridhi video building Jolwa tehsil Palsana Surat</v>
          </cell>
          <cell r="L162" t="str">
            <v>Gujarat</v>
          </cell>
          <cell r="M162" t="str">
            <v>Kishore Bagai Transport, l-2 Jai Mata Di Compound , 2nd left next to Hetvi Textile, Kalher Bhiwandi, Maharashtra - 421302</v>
          </cell>
          <cell r="N162" t="str">
            <v>Maharashtra</v>
          </cell>
          <cell r="O162" t="str">
            <v>Assets Shifting</v>
          </cell>
          <cell r="P162">
            <v>18000</v>
          </cell>
          <cell r="Q162">
            <v>0</v>
          </cell>
          <cell r="R162">
            <v>0</v>
          </cell>
          <cell r="S162">
            <v>0</v>
          </cell>
          <cell r="T162">
            <v>3240</v>
          </cell>
          <cell r="U162">
            <v>0</v>
          </cell>
          <cell r="V162">
            <v>21240</v>
          </cell>
          <cell r="W162">
            <v>360</v>
          </cell>
          <cell r="X162">
            <v>0.02</v>
          </cell>
          <cell r="Y162">
            <v>20880</v>
          </cell>
          <cell r="AC162">
            <v>20880</v>
          </cell>
          <cell r="AJ162">
            <v>18000</v>
          </cell>
        </row>
        <row r="163">
          <cell r="B163">
            <v>1896</v>
          </cell>
          <cell r="C163" t="str">
            <v>Hitachi</v>
          </cell>
          <cell r="D163" t="str">
            <v>Assets Shifting</v>
          </cell>
          <cell r="E163" t="str">
            <v>MCRM3538</v>
          </cell>
          <cell r="F163">
            <v>45842</v>
          </cell>
          <cell r="G163" t="str">
            <v>SSS/2025-26/066</v>
          </cell>
          <cell r="H163" t="str">
            <v>Str8 &amp; Secure Services</v>
          </cell>
          <cell r="I163" t="str">
            <v>AQIPG2144B</v>
          </cell>
          <cell r="J163" t="str">
            <v>07AQIPG2144B1ZF</v>
          </cell>
          <cell r="K163" t="str">
            <v>C/O Pankaj Kumar Jain,Nim Ka Chouraha,Gopinath Ka Garha,Distt-Banswara,Rajasthan-327034</v>
          </cell>
          <cell r="L163" t="str">
            <v>Rajasthan</v>
          </cell>
          <cell r="M163" t="str">
            <v>Shop No.-3, Opposite RG Bank, Reni, Dist.-Alwar, Rajasthan, Pin Code-301409</v>
          </cell>
          <cell r="N163" t="str">
            <v>Rajasthan</v>
          </cell>
          <cell r="O163" t="str">
            <v>Assets Shifting</v>
          </cell>
          <cell r="P163">
            <v>14500</v>
          </cell>
          <cell r="Q163">
            <v>0</v>
          </cell>
          <cell r="R163">
            <v>0</v>
          </cell>
          <cell r="S163">
            <v>0</v>
          </cell>
          <cell r="T163">
            <v>2610</v>
          </cell>
          <cell r="U163">
            <v>0</v>
          </cell>
          <cell r="V163">
            <v>17110</v>
          </cell>
          <cell r="W163">
            <v>290</v>
          </cell>
          <cell r="X163">
            <v>0.02</v>
          </cell>
          <cell r="Y163">
            <v>16820</v>
          </cell>
          <cell r="AC163">
            <v>16820</v>
          </cell>
          <cell r="AJ163">
            <v>14500</v>
          </cell>
        </row>
        <row r="164">
          <cell r="B164">
            <v>1897</v>
          </cell>
          <cell r="C164" t="str">
            <v>Hitachi</v>
          </cell>
          <cell r="D164" t="str">
            <v>Assets Shifting</v>
          </cell>
          <cell r="E164" t="str">
            <v>MCRM3538</v>
          </cell>
          <cell r="F164">
            <v>45842</v>
          </cell>
          <cell r="G164" t="str">
            <v>SSS/2025-26/067</v>
          </cell>
          <cell r="H164" t="str">
            <v>Str8 &amp; Secure Services</v>
          </cell>
          <cell r="I164" t="str">
            <v>AQIPG2144B</v>
          </cell>
          <cell r="J164" t="str">
            <v>07AQIPG2144B1ZF</v>
          </cell>
          <cell r="K164" t="str">
            <v>C/O Pankaj Kumar Jain,Nim Ka Chouraha,Gopinath Ka Garha,Distt-Banswara,Rajasthan-327034</v>
          </cell>
          <cell r="L164" t="str">
            <v>Rajasthan</v>
          </cell>
          <cell r="M164" t="str">
            <v>Plot no 123, Sector 56 Phase IV, Industrial estate, kundli sonipat, sonipat, Haryana, 131028</v>
          </cell>
          <cell r="N164" t="str">
            <v>Haryana</v>
          </cell>
          <cell r="O164" t="str">
            <v>Assets Shifting</v>
          </cell>
          <cell r="P164">
            <v>7000</v>
          </cell>
          <cell r="Q164">
            <v>0</v>
          </cell>
          <cell r="R164">
            <v>0</v>
          </cell>
          <cell r="S164">
            <v>0</v>
          </cell>
          <cell r="T164">
            <v>1260</v>
          </cell>
          <cell r="U164">
            <v>0</v>
          </cell>
          <cell r="V164">
            <v>8260</v>
          </cell>
          <cell r="W164">
            <v>140</v>
          </cell>
          <cell r="X164">
            <v>0.02</v>
          </cell>
          <cell r="Y164">
            <v>8120</v>
          </cell>
          <cell r="AC164">
            <v>8120</v>
          </cell>
          <cell r="AJ164">
            <v>7000</v>
          </cell>
        </row>
        <row r="165">
          <cell r="B165">
            <v>1894</v>
          </cell>
          <cell r="C165" t="str">
            <v>Hitachi</v>
          </cell>
          <cell r="D165" t="str">
            <v>Assets Shifting</v>
          </cell>
          <cell r="E165" t="str">
            <v>SPCNJ096</v>
          </cell>
          <cell r="F165">
            <v>45842</v>
          </cell>
          <cell r="G165" t="str">
            <v>SSS/2025-26/057</v>
          </cell>
          <cell r="H165" t="str">
            <v>Str8 &amp; Secure Services</v>
          </cell>
          <cell r="I165" t="str">
            <v>AQIPG2144B</v>
          </cell>
          <cell r="J165" t="str">
            <v>07AQIPG2144B1ZF</v>
          </cell>
          <cell r="K165" t="str">
            <v>8-B , Kalindi Park , Sardar Patidar chowk , kk nagar , ghatlodiya , ahmedabad 380061</v>
          </cell>
          <cell r="L165" t="str">
            <v>Gujarat</v>
          </cell>
          <cell r="M165" t="str">
            <v>Kishore Bagai Transport, l-2 Jai Mata Di Compound , 2nd left next to Hetvi Textile, Kalher Bhiwandi, Maharashtra - 421302</v>
          </cell>
          <cell r="N165" t="str">
            <v>Maharashtra</v>
          </cell>
          <cell r="O165" t="str">
            <v>Assets Shifting</v>
          </cell>
          <cell r="P165">
            <v>2500</v>
          </cell>
          <cell r="Q165">
            <v>0</v>
          </cell>
          <cell r="R165">
            <v>0</v>
          </cell>
          <cell r="S165">
            <v>0</v>
          </cell>
          <cell r="T165">
            <v>450</v>
          </cell>
          <cell r="U165">
            <v>0</v>
          </cell>
          <cell r="V165">
            <v>2950</v>
          </cell>
          <cell r="W165">
            <v>50</v>
          </cell>
          <cell r="X165">
            <v>0.02</v>
          </cell>
          <cell r="Y165">
            <v>2900</v>
          </cell>
          <cell r="AC165">
            <v>2900</v>
          </cell>
          <cell r="AJ165">
            <v>2500</v>
          </cell>
        </row>
        <row r="166">
          <cell r="B166">
            <v>1889</v>
          </cell>
          <cell r="C166" t="str">
            <v>Hitachi</v>
          </cell>
          <cell r="D166" t="str">
            <v>Assets Shifting</v>
          </cell>
          <cell r="E166" t="str">
            <v>MPZ12675</v>
          </cell>
          <cell r="F166">
            <v>45842</v>
          </cell>
          <cell r="G166" t="str">
            <v>SSS/2025-26/056</v>
          </cell>
          <cell r="H166" t="str">
            <v>Str8 &amp; Secure Services</v>
          </cell>
          <cell r="I166" t="str">
            <v>AQIPG2144B</v>
          </cell>
          <cell r="J166" t="str">
            <v>07AQIPG2144B1ZF</v>
          </cell>
          <cell r="K166" t="str">
            <v>Ahmedabad warehouse</v>
          </cell>
          <cell r="L166" t="str">
            <v>Gujarat</v>
          </cell>
          <cell r="M166" t="str">
            <v xml:space="preserve">Bhavnagar road, beside yogi still, near railway phatak, botad </v>
          </cell>
          <cell r="N166" t="str">
            <v>Gujarat</v>
          </cell>
          <cell r="O166" t="str">
            <v>Assets Shifting</v>
          </cell>
          <cell r="P166">
            <v>4000</v>
          </cell>
          <cell r="Q166">
            <v>0</v>
          </cell>
          <cell r="R166">
            <v>0</v>
          </cell>
          <cell r="S166">
            <v>0</v>
          </cell>
          <cell r="T166">
            <v>720</v>
          </cell>
          <cell r="U166">
            <v>0</v>
          </cell>
          <cell r="V166">
            <v>4720</v>
          </cell>
          <cell r="W166">
            <v>80</v>
          </cell>
          <cell r="X166">
            <v>0.02</v>
          </cell>
          <cell r="Y166">
            <v>4640</v>
          </cell>
          <cell r="AC166">
            <v>4640</v>
          </cell>
          <cell r="AJ166">
            <v>4000</v>
          </cell>
        </row>
        <row r="167">
          <cell r="B167">
            <v>1887</v>
          </cell>
          <cell r="C167" t="str">
            <v>Hitachi</v>
          </cell>
          <cell r="D167" t="str">
            <v>Assets Shifting</v>
          </cell>
          <cell r="E167" t="str">
            <v>MPB01818</v>
          </cell>
          <cell r="F167">
            <v>45842</v>
          </cell>
          <cell r="G167" t="str">
            <v>SSS/2025-26/056</v>
          </cell>
          <cell r="H167" t="str">
            <v>Str8 &amp; Secure Services</v>
          </cell>
          <cell r="I167" t="str">
            <v>AQIPG2144B</v>
          </cell>
          <cell r="J167" t="str">
            <v>07AQIPG2144B1ZF</v>
          </cell>
          <cell r="K167" t="str">
            <v>Delhi WH</v>
          </cell>
          <cell r="L167" t="str">
            <v>Delhi</v>
          </cell>
          <cell r="M167" t="str">
            <v>Shop No-1, Corner site,sarojini colony, Model Towm,Yamunanagar,Haryana-135001</v>
          </cell>
          <cell r="N167" t="str">
            <v>Haryana</v>
          </cell>
          <cell r="O167" t="str">
            <v>Assets Shifting</v>
          </cell>
          <cell r="P167">
            <v>5500</v>
          </cell>
          <cell r="Q167">
            <v>0</v>
          </cell>
          <cell r="R167">
            <v>0</v>
          </cell>
          <cell r="S167">
            <v>0</v>
          </cell>
          <cell r="T167">
            <v>990</v>
          </cell>
          <cell r="U167">
            <v>0</v>
          </cell>
          <cell r="V167">
            <v>6490</v>
          </cell>
          <cell r="W167">
            <v>110</v>
          </cell>
          <cell r="X167">
            <v>0.02</v>
          </cell>
          <cell r="Y167">
            <v>6380</v>
          </cell>
          <cell r="AC167">
            <v>6380</v>
          </cell>
          <cell r="AJ167">
            <v>5500</v>
          </cell>
        </row>
        <row r="168">
          <cell r="B168">
            <v>1884</v>
          </cell>
          <cell r="C168" t="str">
            <v>Hitachi</v>
          </cell>
          <cell r="D168" t="str">
            <v>Assets Shifting</v>
          </cell>
          <cell r="E168" t="str">
            <v>MPB00173</v>
          </cell>
          <cell r="F168">
            <v>45842</v>
          </cell>
          <cell r="G168" t="str">
            <v>SSS/2025-26/056</v>
          </cell>
          <cell r="H168" t="str">
            <v>Str8 &amp; Secure Services</v>
          </cell>
          <cell r="I168" t="str">
            <v>AQIPG2144B</v>
          </cell>
          <cell r="J168" t="str">
            <v>07AQIPG2144B1ZF</v>
          </cell>
          <cell r="K168" t="str">
            <v>Delhi WH</v>
          </cell>
          <cell r="L168" t="str">
            <v>Delhi</v>
          </cell>
          <cell r="M168" t="str">
            <v>HAWA SINGH,VILLAGE SUTHANI MARKET,TEHSIL BAWAL,DT REWARI 123501</v>
          </cell>
          <cell r="N168" t="str">
            <v>Haryana</v>
          </cell>
          <cell r="O168" t="str">
            <v>Assets Shifting</v>
          </cell>
          <cell r="P168">
            <v>5500</v>
          </cell>
          <cell r="Q168">
            <v>0</v>
          </cell>
          <cell r="R168">
            <v>0</v>
          </cell>
          <cell r="S168">
            <v>0</v>
          </cell>
          <cell r="T168">
            <v>990</v>
          </cell>
          <cell r="U168">
            <v>0</v>
          </cell>
          <cell r="V168">
            <v>6490</v>
          </cell>
          <cell r="W168">
            <v>110</v>
          </cell>
          <cell r="X168">
            <v>0.02</v>
          </cell>
          <cell r="Y168">
            <v>6380</v>
          </cell>
          <cell r="AC168">
            <v>6380</v>
          </cell>
          <cell r="AJ168">
            <v>5500</v>
          </cell>
        </row>
        <row r="169">
          <cell r="B169">
            <v>1892</v>
          </cell>
          <cell r="C169" t="str">
            <v>Hitachi</v>
          </cell>
          <cell r="D169" t="str">
            <v>Assets Shifting</v>
          </cell>
          <cell r="E169" t="str">
            <v>MCRM6863</v>
          </cell>
          <cell r="F169">
            <v>45842</v>
          </cell>
          <cell r="G169" t="str">
            <v>SSS/2025-26/057</v>
          </cell>
          <cell r="H169" t="str">
            <v>Str8 &amp; Secure Services</v>
          </cell>
          <cell r="I169" t="str">
            <v>AQIPG2144B</v>
          </cell>
          <cell r="J169" t="str">
            <v>07AQIPG2144B1ZF</v>
          </cell>
          <cell r="K169" t="str">
            <v>C/O Shri Ganesh Building Materials, Badhori-Samba-181143</v>
          </cell>
          <cell r="L169" t="str">
            <v>Jammu &amp; Kashmir</v>
          </cell>
          <cell r="M169" t="str">
            <v>Plot no 123, Sector 56 Phase IV, Industrial estate, kundli sonipat, sonipat, Haryana, 131028</v>
          </cell>
          <cell r="N169" t="str">
            <v>Haryana</v>
          </cell>
          <cell r="O169" t="str">
            <v>Assets Shifting</v>
          </cell>
          <cell r="P169">
            <v>2500</v>
          </cell>
          <cell r="Q169">
            <v>0</v>
          </cell>
          <cell r="R169">
            <v>0</v>
          </cell>
          <cell r="S169">
            <v>0</v>
          </cell>
          <cell r="T169">
            <v>450</v>
          </cell>
          <cell r="U169">
            <v>0</v>
          </cell>
          <cell r="V169">
            <v>2950</v>
          </cell>
          <cell r="W169">
            <v>50</v>
          </cell>
          <cell r="X169">
            <v>0.02</v>
          </cell>
          <cell r="Y169">
            <v>2900</v>
          </cell>
          <cell r="AC169">
            <v>2900</v>
          </cell>
          <cell r="AJ169">
            <v>2500</v>
          </cell>
        </row>
        <row r="170">
          <cell r="B170">
            <v>1898</v>
          </cell>
          <cell r="C170" t="str">
            <v>Hitachi</v>
          </cell>
          <cell r="D170" t="str">
            <v>Assets Shifting</v>
          </cell>
          <cell r="E170" t="str">
            <v>GJHAO016</v>
          </cell>
          <cell r="F170">
            <v>45842</v>
          </cell>
          <cell r="G170" t="str">
            <v>SSS/2025-26/056</v>
          </cell>
          <cell r="H170" t="str">
            <v>Str8 &amp; Secure Services</v>
          </cell>
          <cell r="I170" t="str">
            <v>AQIPG2144B</v>
          </cell>
          <cell r="J170" t="str">
            <v>07AQIPG2144B1ZF</v>
          </cell>
          <cell r="K170" t="str">
            <v>Yes Bank Ltd Time Square  Grand 7th Floor, Plot No. 53, Near Sindhu Bhavan , Opp. Goga Maharaj Mandir, Sindhu Bhavan Road, Thaltej, Ahmedabad 380059</v>
          </cell>
          <cell r="L170" t="str">
            <v>Gujarat</v>
          </cell>
          <cell r="M170" t="str">
            <v>Yes Bank Ltd Time Square  Grand 7th Floor, Plot No. 53, Near Sindhu Bhavan , Opp. Goga Maharaj Mandir, Sindhu Bhavan Road, Thaltej, Ahmedabad 380059</v>
          </cell>
          <cell r="N170" t="str">
            <v>Gujarat</v>
          </cell>
          <cell r="O170" t="str">
            <v>Assets Shifting</v>
          </cell>
          <cell r="P170">
            <v>2500</v>
          </cell>
          <cell r="Q170">
            <v>0</v>
          </cell>
          <cell r="R170">
            <v>0</v>
          </cell>
          <cell r="S170">
            <v>0</v>
          </cell>
          <cell r="T170">
            <v>450</v>
          </cell>
          <cell r="U170">
            <v>0</v>
          </cell>
          <cell r="V170">
            <v>2950</v>
          </cell>
          <cell r="W170">
            <v>50</v>
          </cell>
          <cell r="X170">
            <v>0.02</v>
          </cell>
          <cell r="Y170">
            <v>2900</v>
          </cell>
          <cell r="AC170">
            <v>2900</v>
          </cell>
          <cell r="AJ170">
            <v>2500</v>
          </cell>
        </row>
        <row r="171">
          <cell r="B171">
            <v>1679</v>
          </cell>
          <cell r="C171" t="str">
            <v>NCR-Umesh</v>
          </cell>
          <cell r="D171" t="str">
            <v>Assets Shifting</v>
          </cell>
          <cell r="E171" t="str">
            <v>MPZ12847</v>
          </cell>
          <cell r="F171">
            <v>45873</v>
          </cell>
          <cell r="G171" t="str">
            <v>SSS/2025-26/080</v>
          </cell>
          <cell r="H171" t="str">
            <v>Str8 &amp; Secure Services</v>
          </cell>
          <cell r="I171" t="str">
            <v>AQIPG2144B</v>
          </cell>
          <cell r="J171" t="str">
            <v>07AQIPG2144B1ZF</v>
          </cell>
          <cell r="K171" t="str">
            <v>Shop no. 1, Opposite Bharat Petrol Pump, Main Hostel Road, Kot, Uttawar Haryana 121103</v>
          </cell>
          <cell r="L171" t="str">
            <v>Haryana</v>
          </cell>
          <cell r="M171" t="str">
            <v>Plot no 123, Sector 56 Phase IV, Industrial estate, kundli sonipat, sonipat, Haryana, 131028</v>
          </cell>
          <cell r="N171" t="str">
            <v>Haryana</v>
          </cell>
          <cell r="O171" t="str">
            <v>Assets Shifting</v>
          </cell>
          <cell r="P171">
            <v>15500</v>
          </cell>
          <cell r="Q171">
            <v>0</v>
          </cell>
          <cell r="R171">
            <v>0</v>
          </cell>
          <cell r="S171">
            <v>0</v>
          </cell>
          <cell r="T171">
            <v>2790</v>
          </cell>
          <cell r="U171">
            <v>0</v>
          </cell>
          <cell r="V171">
            <v>18290</v>
          </cell>
          <cell r="W171">
            <v>155</v>
          </cell>
          <cell r="X171">
            <v>0.01</v>
          </cell>
          <cell r="Y171">
            <v>18135</v>
          </cell>
          <cell r="AC171">
            <v>18135</v>
          </cell>
          <cell r="AJ171">
            <v>15500</v>
          </cell>
        </row>
        <row r="172">
          <cell r="B172">
            <v>1862</v>
          </cell>
          <cell r="C172" t="str">
            <v>NCR-Hari</v>
          </cell>
          <cell r="D172" t="str">
            <v>Assets Shifting</v>
          </cell>
          <cell r="E172" t="str">
            <v>S1ANPZ07</v>
          </cell>
          <cell r="F172">
            <v>45873</v>
          </cell>
          <cell r="G172" t="str">
            <v>SSS/2025-26/077</v>
          </cell>
          <cell r="H172" t="str">
            <v>Str8 &amp; Secure Services</v>
          </cell>
          <cell r="I172" t="str">
            <v>AQIPG2144B</v>
          </cell>
          <cell r="J172" t="str">
            <v>07AQIPG2144B1ZF</v>
          </cell>
          <cell r="K172" t="str">
            <v>Hdfc Bank Ltd., Delhi - Saharanpur Road, Village Chunati Gada, Distt. Saharanpur, Uttar Pradesh-247001</v>
          </cell>
          <cell r="L172" t="str">
            <v>Uttar Pradesh</v>
          </cell>
          <cell r="M172" t="str">
            <v>HDFC BANK Ltd, Ground floor, Khasra No.323, Village Chuneti Gada, Pargana, Tehsil &amp; Dist. Saharanpur, Uttar Pradesh -247001.</v>
          </cell>
          <cell r="N172" t="str">
            <v>Uttar Pradesh</v>
          </cell>
          <cell r="O172" t="str">
            <v>Assets Shifting</v>
          </cell>
          <cell r="P172">
            <v>7100</v>
          </cell>
          <cell r="Q172">
            <v>0</v>
          </cell>
          <cell r="R172">
            <v>0</v>
          </cell>
          <cell r="S172">
            <v>0</v>
          </cell>
          <cell r="T172">
            <v>1278</v>
          </cell>
          <cell r="U172">
            <v>0</v>
          </cell>
          <cell r="V172">
            <v>8378</v>
          </cell>
          <cell r="W172">
            <v>71</v>
          </cell>
          <cell r="X172">
            <v>0.01</v>
          </cell>
          <cell r="Y172">
            <v>8307</v>
          </cell>
          <cell r="AC172">
            <v>8307</v>
          </cell>
          <cell r="AJ172">
            <v>7100</v>
          </cell>
        </row>
        <row r="173">
          <cell r="B173">
            <v>1894</v>
          </cell>
          <cell r="C173" t="str">
            <v>Hitachi</v>
          </cell>
          <cell r="D173" t="str">
            <v>Assets Shifting</v>
          </cell>
          <cell r="E173" t="str">
            <v>SPCNJ096</v>
          </cell>
          <cell r="F173">
            <v>45873</v>
          </cell>
          <cell r="G173" t="str">
            <v>SSS/2025-26/086</v>
          </cell>
          <cell r="H173" t="str">
            <v>Str8 &amp; Secure Services</v>
          </cell>
          <cell r="I173" t="str">
            <v>AQIPG2144B</v>
          </cell>
          <cell r="J173" t="str">
            <v>07AQIPG2144B1ZF</v>
          </cell>
          <cell r="K173" t="str">
            <v>8-B , Kalindi Park , Sardar Patidar chowk , kk nagar , ghatlodiya , ahmedabad 380061</v>
          </cell>
          <cell r="L173" t="str">
            <v>Gujarat</v>
          </cell>
          <cell r="M173" t="str">
            <v>Kishore Bagai Transport, l-2 Jai Mata Di Compound , 2nd left next to Hetvi Textile, Kalher Bhiwandi, Maharashtra - 421302</v>
          </cell>
          <cell r="N173" t="str">
            <v>Maharashtra</v>
          </cell>
          <cell r="O173" t="str">
            <v>Assets Shifting</v>
          </cell>
          <cell r="P173">
            <v>8000</v>
          </cell>
          <cell r="Q173">
            <v>0</v>
          </cell>
          <cell r="R173">
            <v>0</v>
          </cell>
          <cell r="S173">
            <v>0</v>
          </cell>
          <cell r="T173">
            <v>1440</v>
          </cell>
          <cell r="U173">
            <v>0</v>
          </cell>
          <cell r="V173">
            <v>9440</v>
          </cell>
          <cell r="W173">
            <v>80</v>
          </cell>
          <cell r="X173">
            <v>0.01</v>
          </cell>
          <cell r="Y173">
            <v>9360</v>
          </cell>
          <cell r="AC173">
            <v>9360</v>
          </cell>
          <cell r="AJ173">
            <v>8000</v>
          </cell>
        </row>
        <row r="174">
          <cell r="B174">
            <v>1899</v>
          </cell>
          <cell r="C174" t="str">
            <v>Hitachi</v>
          </cell>
          <cell r="D174" t="str">
            <v>Assets Shifting</v>
          </cell>
          <cell r="E174" t="str">
            <v>MPB00973</v>
          </cell>
          <cell r="F174">
            <v>45873</v>
          </cell>
          <cell r="G174" t="str">
            <v>SSS/2025-26/083</v>
          </cell>
          <cell r="H174" t="str">
            <v>Str8 &amp; Secure Services</v>
          </cell>
          <cell r="I174" t="str">
            <v>AQIPG2144B</v>
          </cell>
          <cell r="J174" t="str">
            <v>07AQIPG2144B1ZF</v>
          </cell>
          <cell r="K174" t="str">
            <v>Deokali , Post Deokali ,kerakat , jaunpur Uttar Pradesh 222142</v>
          </cell>
          <cell r="L174" t="str">
            <v>Uttar Pradesh</v>
          </cell>
          <cell r="M174" t="str">
            <v>Plot no 123, Sector 56 Phase IV, Industrial estate, kundli sonipat, sonipat, Haryana, 131028</v>
          </cell>
          <cell r="N174" t="str">
            <v>Haryana</v>
          </cell>
          <cell r="O174" t="str">
            <v>Assets Shifting</v>
          </cell>
          <cell r="P174">
            <v>20500</v>
          </cell>
          <cell r="Q174">
            <v>0</v>
          </cell>
          <cell r="R174">
            <v>0</v>
          </cell>
          <cell r="S174">
            <v>0</v>
          </cell>
          <cell r="T174">
            <v>3690</v>
          </cell>
          <cell r="U174">
            <v>0</v>
          </cell>
          <cell r="V174">
            <v>24190</v>
          </cell>
          <cell r="W174">
            <v>205</v>
          </cell>
          <cell r="X174">
            <v>0.01</v>
          </cell>
          <cell r="Y174">
            <v>23985</v>
          </cell>
          <cell r="AC174">
            <v>23985</v>
          </cell>
          <cell r="AJ174">
            <v>20500</v>
          </cell>
        </row>
        <row r="175">
          <cell r="B175">
            <v>1903</v>
          </cell>
          <cell r="C175" t="str">
            <v>Hitachi</v>
          </cell>
          <cell r="D175" t="str">
            <v>Assets Shifting</v>
          </cell>
          <cell r="E175" t="str">
            <v>MCRM7508</v>
          </cell>
          <cell r="F175">
            <v>45873</v>
          </cell>
          <cell r="G175" t="str">
            <v>SSS/2025-26/083</v>
          </cell>
          <cell r="H175" t="str">
            <v>Str8 &amp; Secure Services</v>
          </cell>
          <cell r="I175" t="str">
            <v>AQIPG2144B</v>
          </cell>
          <cell r="J175" t="str">
            <v>07AQIPG2144B1ZF</v>
          </cell>
          <cell r="K175" t="str">
            <v>Shop No.1 Hajihusen Na Chakla Pase,Viramgam,Ahemdabad,Gujarat 382150</v>
          </cell>
          <cell r="L175" t="str">
            <v>Gujarat</v>
          </cell>
          <cell r="M175" t="str">
            <v>Kishore Bagai Transport, L-2 Jai Mata Di Compound , 2Nd Left Next To Hetvi Textile,Kalher Bhiwandi, Maharashtra - 421301</v>
          </cell>
          <cell r="N175" t="str">
            <v>Maharashtra</v>
          </cell>
          <cell r="O175" t="str">
            <v>Assets Shifting</v>
          </cell>
          <cell r="P175">
            <v>20500</v>
          </cell>
          <cell r="Q175">
            <v>0</v>
          </cell>
          <cell r="R175">
            <v>0</v>
          </cell>
          <cell r="S175">
            <v>0</v>
          </cell>
          <cell r="T175">
            <v>3690</v>
          </cell>
          <cell r="U175">
            <v>0</v>
          </cell>
          <cell r="V175">
            <v>24190</v>
          </cell>
          <cell r="W175">
            <v>205</v>
          </cell>
          <cell r="X175">
            <v>0.01</v>
          </cell>
          <cell r="Y175">
            <v>23985</v>
          </cell>
          <cell r="AC175">
            <v>23985</v>
          </cell>
          <cell r="AJ175">
            <v>20500</v>
          </cell>
        </row>
        <row r="176">
          <cell r="B176">
            <v>1905</v>
          </cell>
          <cell r="C176" t="str">
            <v>Hitachi</v>
          </cell>
          <cell r="D176" t="str">
            <v>Assets Shifting</v>
          </cell>
          <cell r="E176" t="str">
            <v>MPB01067</v>
          </cell>
          <cell r="F176">
            <v>45873</v>
          </cell>
          <cell r="G176" t="str">
            <v>SSS/2025-26/085</v>
          </cell>
          <cell r="H176" t="str">
            <v>Str8 &amp; Secure Services</v>
          </cell>
          <cell r="I176" t="str">
            <v>AQIPG2144B</v>
          </cell>
          <cell r="J176" t="str">
            <v>07AQIPG2144B1ZF</v>
          </cell>
          <cell r="K176" t="str">
            <v>HN No.105, Shivkrupa Navas, Near Bhairavnath Mandir, Aundh Gaon, Pune City , Pune - 411007</v>
          </cell>
          <cell r="L176" t="str">
            <v>Maharashtra</v>
          </cell>
          <cell r="M176" t="str">
            <v>Plot no 123, Sector 56 Phase IV, Industrial estate, kundli sonipat, sonipat, Haryana, 131028</v>
          </cell>
          <cell r="N176" t="str">
            <v>Haryana</v>
          </cell>
          <cell r="O176" t="str">
            <v>Assets Shifting</v>
          </cell>
          <cell r="P176">
            <v>21000</v>
          </cell>
          <cell r="Q176">
            <v>0</v>
          </cell>
          <cell r="R176">
            <v>0</v>
          </cell>
          <cell r="S176">
            <v>0</v>
          </cell>
          <cell r="T176">
            <v>3780</v>
          </cell>
          <cell r="U176">
            <v>0</v>
          </cell>
          <cell r="V176">
            <v>24780</v>
          </cell>
          <cell r="W176">
            <v>210</v>
          </cell>
          <cell r="X176">
            <v>0.01</v>
          </cell>
          <cell r="Y176">
            <v>24570</v>
          </cell>
          <cell r="AC176">
            <v>24570</v>
          </cell>
          <cell r="AJ176">
            <v>21000</v>
          </cell>
        </row>
        <row r="177">
          <cell r="B177">
            <v>1906</v>
          </cell>
          <cell r="C177" t="str">
            <v>Hitachi</v>
          </cell>
          <cell r="D177" t="str">
            <v>Assets Shifting</v>
          </cell>
          <cell r="E177" t="str">
            <v>MCRM7826</v>
          </cell>
          <cell r="F177">
            <v>45873</v>
          </cell>
          <cell r="G177" t="str">
            <v>SSS/2025-26/084</v>
          </cell>
          <cell r="H177" t="str">
            <v>Str8 &amp; Secure Services</v>
          </cell>
          <cell r="I177" t="str">
            <v>AQIPG2144B</v>
          </cell>
          <cell r="J177" t="str">
            <v>07AQIPG2144B1ZF</v>
          </cell>
          <cell r="K177" t="str">
            <v>Shop no. 1 OPP.ESTI DEPO RANI BANGLA COMPAOUND ,CHHOTAUDEPUR,GUJRAT,391165</v>
          </cell>
          <cell r="L177" t="str">
            <v>Gujarat</v>
          </cell>
          <cell r="M177" t="str">
            <v>Kishore Bagai Transport, l-2 Jai Mata Di Compound , 2nd left next to Hetvi Textile, Kalher Bhiwandi, Maharashtra - 421302</v>
          </cell>
          <cell r="N177" t="str">
            <v>Maharashtra</v>
          </cell>
          <cell r="O177" t="str">
            <v>Assets Shifting</v>
          </cell>
          <cell r="P177">
            <v>2500</v>
          </cell>
          <cell r="Q177">
            <v>0</v>
          </cell>
          <cell r="R177">
            <v>0</v>
          </cell>
          <cell r="S177">
            <v>0</v>
          </cell>
          <cell r="T177">
            <v>450</v>
          </cell>
          <cell r="U177">
            <v>0</v>
          </cell>
          <cell r="V177">
            <v>2950</v>
          </cell>
          <cell r="W177">
            <v>25</v>
          </cell>
          <cell r="X177">
            <v>0.01</v>
          </cell>
          <cell r="Y177">
            <v>2925</v>
          </cell>
          <cell r="AC177">
            <v>2925</v>
          </cell>
          <cell r="AJ177">
            <v>2500</v>
          </cell>
        </row>
        <row r="178">
          <cell r="B178">
            <v>1916</v>
          </cell>
          <cell r="C178" t="str">
            <v>Hitachi</v>
          </cell>
          <cell r="D178" t="str">
            <v>Assets Shifting</v>
          </cell>
          <cell r="E178" t="str">
            <v>MCRM7973</v>
          </cell>
          <cell r="F178">
            <v>45873</v>
          </cell>
          <cell r="G178" t="str">
            <v>SSS/2025-26/087</v>
          </cell>
          <cell r="H178" t="str">
            <v>Str8 &amp; Secure Services</v>
          </cell>
          <cell r="I178" t="str">
            <v>AQIPG2144B</v>
          </cell>
          <cell r="J178" t="str">
            <v>07AQIPG2144B1ZF</v>
          </cell>
          <cell r="K178" t="str">
            <v>Shop No 3, opposite Indian petrol pump , Rajaji ka kareda district Bhilwara Rajasthan</v>
          </cell>
          <cell r="L178" t="str">
            <v>Rajasthan</v>
          </cell>
          <cell r="M178" t="str">
            <v>Plot no 123, Sector 56 Phase IV, Industrial estate, kundli sonipat, sonipat, Haryana, 131028</v>
          </cell>
          <cell r="N178" t="str">
            <v>Haryana</v>
          </cell>
          <cell r="O178" t="str">
            <v>Assets Shifting</v>
          </cell>
          <cell r="P178">
            <v>20500</v>
          </cell>
          <cell r="Q178">
            <v>0</v>
          </cell>
          <cell r="R178">
            <v>0</v>
          </cell>
          <cell r="S178">
            <v>0</v>
          </cell>
          <cell r="T178">
            <v>3690</v>
          </cell>
          <cell r="U178">
            <v>0</v>
          </cell>
          <cell r="V178">
            <v>24190</v>
          </cell>
          <cell r="W178">
            <v>205</v>
          </cell>
          <cell r="X178">
            <v>0.01</v>
          </cell>
          <cell r="Y178">
            <v>23985</v>
          </cell>
          <cell r="AC178">
            <v>23985</v>
          </cell>
          <cell r="AJ178">
            <v>20500</v>
          </cell>
        </row>
        <row r="179">
          <cell r="B179">
            <v>1919</v>
          </cell>
          <cell r="C179" t="str">
            <v>HItachi</v>
          </cell>
          <cell r="D179" t="str">
            <v>Assets Shifting</v>
          </cell>
          <cell r="E179" t="str">
            <v>MCRM9216</v>
          </cell>
          <cell r="F179">
            <v>45873</v>
          </cell>
          <cell r="G179" t="str">
            <v>SSS/2025-26/087</v>
          </cell>
          <cell r="H179" t="str">
            <v>Str8 &amp; Secure Services</v>
          </cell>
          <cell r="I179" t="str">
            <v>AQIPG2144B</v>
          </cell>
          <cell r="J179" t="str">
            <v>07AQIPG2144B1ZF</v>
          </cell>
          <cell r="K179" t="str">
            <v>SHOP NO 2,MAIN BUS STAND SAHARA CIRCLE,OPPOSITE BANK OF BARODA,LANDMARK PANCHAYAT SAMITI,DIST BHILWARA STATE RAJASTHAN PIN 311806</v>
          </cell>
          <cell r="L179" t="str">
            <v>Rajasthan</v>
          </cell>
          <cell r="M179" t="str">
            <v>Plot no 123, Sector 56 Phase IV, Industrial estate, kundli sonipat, sonipat, Haryana, 131028</v>
          </cell>
          <cell r="N179" t="str">
            <v>Haryana</v>
          </cell>
          <cell r="O179" t="str">
            <v>Assets Shifting</v>
          </cell>
          <cell r="P179">
            <v>20500</v>
          </cell>
          <cell r="Q179">
            <v>0</v>
          </cell>
          <cell r="R179">
            <v>0</v>
          </cell>
          <cell r="S179">
            <v>0</v>
          </cell>
          <cell r="T179">
            <v>3690</v>
          </cell>
          <cell r="U179">
            <v>0</v>
          </cell>
          <cell r="V179">
            <v>24190</v>
          </cell>
          <cell r="W179">
            <v>205</v>
          </cell>
          <cell r="X179">
            <v>0.01</v>
          </cell>
          <cell r="Y179">
            <v>23985</v>
          </cell>
          <cell r="AC179">
            <v>23985</v>
          </cell>
          <cell r="AJ179">
            <v>20500</v>
          </cell>
        </row>
        <row r="180">
          <cell r="B180">
            <v>1921</v>
          </cell>
          <cell r="C180" t="str">
            <v>HItachi</v>
          </cell>
          <cell r="D180" t="str">
            <v>Assets Shifting</v>
          </cell>
          <cell r="E180" t="str">
            <v>MPZ05095</v>
          </cell>
          <cell r="F180">
            <v>45873</v>
          </cell>
          <cell r="G180" t="str">
            <v>SSS/2025-26/085</v>
          </cell>
          <cell r="H180" t="str">
            <v>Str8 &amp; Secure Services</v>
          </cell>
          <cell r="I180" t="str">
            <v>AQIPG2144B</v>
          </cell>
          <cell r="J180" t="str">
            <v>07AQIPG2144B1ZF</v>
          </cell>
          <cell r="K180" t="str">
            <v>Shop No. 1, Old Toll Naka, Near Indian Oversis Bank, Apposit To Essar Petrol Pump, At. Post Ranjangaon Midc T. Shirur Dist. Pune</v>
          </cell>
          <cell r="L180" t="str">
            <v>Maharashtra</v>
          </cell>
          <cell r="M180" t="str">
            <v>Plot no 123, Sector 56 Phase IV, Industrial estate, kundli sonipat, sonipat, Haryana, 131028</v>
          </cell>
          <cell r="N180" t="str">
            <v>Haryana</v>
          </cell>
          <cell r="O180" t="str">
            <v>Assets Shifting</v>
          </cell>
          <cell r="P180">
            <v>21000</v>
          </cell>
          <cell r="Q180">
            <v>0</v>
          </cell>
          <cell r="R180">
            <v>0</v>
          </cell>
          <cell r="S180">
            <v>0</v>
          </cell>
          <cell r="T180">
            <v>3780</v>
          </cell>
          <cell r="U180">
            <v>0</v>
          </cell>
          <cell r="V180">
            <v>24780</v>
          </cell>
          <cell r="W180">
            <v>210</v>
          </cell>
          <cell r="X180">
            <v>0.01</v>
          </cell>
          <cell r="Y180">
            <v>24570</v>
          </cell>
          <cell r="AC180">
            <v>24570</v>
          </cell>
          <cell r="AJ180">
            <v>21000</v>
          </cell>
        </row>
        <row r="181">
          <cell r="B181">
            <v>1922</v>
          </cell>
          <cell r="C181" t="str">
            <v>HItachi</v>
          </cell>
          <cell r="D181" t="str">
            <v>Assets Shifting</v>
          </cell>
          <cell r="E181" t="str">
            <v>MPB00022</v>
          </cell>
          <cell r="F181">
            <v>45873</v>
          </cell>
          <cell r="G181" t="str">
            <v>SSS/2025-26/085</v>
          </cell>
          <cell r="H181" t="str">
            <v>Str8 &amp; Secure Services</v>
          </cell>
          <cell r="I181" t="str">
            <v>AQIPG2144B</v>
          </cell>
          <cell r="J181" t="str">
            <v>07AQIPG2144B1ZF</v>
          </cell>
          <cell r="K181" t="str">
            <v>Shop No - 3,Nanekar Complex, Chakan - Talegaon Chowk, Chakan, PuneNear Hotel Prasad Executive - 410501</v>
          </cell>
          <cell r="L181" t="str">
            <v>Maharashtra</v>
          </cell>
          <cell r="M181" t="str">
            <v>Plot no 123, Sector 56 Phase IV, Industrial estate, kundli sonipat, sonipat, Haryana, 131028</v>
          </cell>
          <cell r="N181" t="str">
            <v>Haryana</v>
          </cell>
          <cell r="O181" t="str">
            <v>Assets Shifting</v>
          </cell>
          <cell r="P181">
            <v>21500</v>
          </cell>
          <cell r="Q181">
            <v>0</v>
          </cell>
          <cell r="R181">
            <v>0</v>
          </cell>
          <cell r="S181">
            <v>0</v>
          </cell>
          <cell r="T181">
            <v>3870</v>
          </cell>
          <cell r="U181">
            <v>0</v>
          </cell>
          <cell r="V181">
            <v>25370</v>
          </cell>
          <cell r="W181">
            <v>215</v>
          </cell>
          <cell r="X181">
            <v>0.01</v>
          </cell>
          <cell r="Y181">
            <v>25155</v>
          </cell>
          <cell r="AC181">
            <v>25155</v>
          </cell>
          <cell r="AJ181">
            <v>21500</v>
          </cell>
        </row>
        <row r="182">
          <cell r="B182">
            <v>5011</v>
          </cell>
          <cell r="C182" t="str">
            <v>NCR-Ajay</v>
          </cell>
          <cell r="D182" t="str">
            <v>Assets Shifting</v>
          </cell>
          <cell r="E182" t="str">
            <v>DFBP000660091</v>
          </cell>
          <cell r="F182">
            <v>45873</v>
          </cell>
          <cell r="G182" t="str">
            <v>SSS/2025-26/079</v>
          </cell>
          <cell r="H182" t="str">
            <v>Str8 &amp; Secure Services</v>
          </cell>
          <cell r="I182" t="str">
            <v>AQIPG2144B</v>
          </cell>
          <cell r="J182" t="str">
            <v>07AQIPG2144B1ZF</v>
          </cell>
          <cell r="K182" t="str">
            <v>Haveli Restuarent &amp; Resort,GT Rd, Khajurla, Jalandhar -phagwara highway Kapurthala, Punjab 144402</v>
          </cell>
          <cell r="L182" t="str">
            <v>Punjab</v>
          </cell>
          <cell r="M182" t="str">
            <v>KHEWAT KHATONI NO. 81/99 KHASRA NO. 24//1/2/3(2-9)24//10/1/3(1-13) VILLAGE NIAMUMAJRA, TEHSIL BASSI, PATHANA, DISTRICT FATEHGARH SAHIB  140412</v>
          </cell>
          <cell r="N182" t="str">
            <v>Punjab</v>
          </cell>
          <cell r="O182" t="str">
            <v>Assets Shifting</v>
          </cell>
          <cell r="P182">
            <v>2000</v>
          </cell>
          <cell r="Q182">
            <v>0</v>
          </cell>
          <cell r="R182">
            <v>0</v>
          </cell>
          <cell r="S182">
            <v>0</v>
          </cell>
          <cell r="T182">
            <v>360</v>
          </cell>
          <cell r="U182">
            <v>0</v>
          </cell>
          <cell r="V182">
            <v>2360</v>
          </cell>
          <cell r="W182">
            <v>20</v>
          </cell>
          <cell r="X182">
            <v>0.01</v>
          </cell>
          <cell r="Y182">
            <v>2340</v>
          </cell>
          <cell r="AC182">
            <v>2340</v>
          </cell>
          <cell r="AJ182">
            <v>2000</v>
          </cell>
        </row>
        <row r="183">
          <cell r="B183">
            <v>5012</v>
          </cell>
          <cell r="C183" t="str">
            <v>NCR-Ajay</v>
          </cell>
          <cell r="D183" t="str">
            <v>Assets Shifting</v>
          </cell>
          <cell r="E183" t="str">
            <v>DFBP001431017</v>
          </cell>
          <cell r="F183">
            <v>45873</v>
          </cell>
          <cell r="G183" t="str">
            <v>SSS/2025-26/079</v>
          </cell>
          <cell r="H183" t="str">
            <v>Str8 &amp; Secure Services</v>
          </cell>
          <cell r="I183" t="str">
            <v>AQIPG2144B</v>
          </cell>
          <cell r="J183" t="str">
            <v>07AQIPG2144B1ZF</v>
          </cell>
          <cell r="K183" t="str">
            <v xml:space="preserve">SCO -2 UNIVERSITY VIEW  STATE  VILLAGE  MAHERU DIST KAPURTHALA 144044 </v>
          </cell>
          <cell r="L183" t="str">
            <v>Punjab</v>
          </cell>
          <cell r="M183" t="str">
            <v>KHEWAT KHATONI NO. 81/99 KHASRA NO. 24//1/2/3(2-9)24//10/1/3(1-13) VILLAGE NIAMUMAJRA, TEHSIL BASSI, PATHANA, DISTRICT FATEHGARH SAHIB  140412</v>
          </cell>
          <cell r="N183" t="str">
            <v>Punjab</v>
          </cell>
          <cell r="O183" t="str">
            <v>Assets Shifting</v>
          </cell>
          <cell r="P183">
            <v>8500</v>
          </cell>
          <cell r="Q183">
            <v>0</v>
          </cell>
          <cell r="R183">
            <v>0</v>
          </cell>
          <cell r="S183">
            <v>0</v>
          </cell>
          <cell r="T183">
            <v>1530</v>
          </cell>
          <cell r="U183">
            <v>0</v>
          </cell>
          <cell r="V183">
            <v>10030</v>
          </cell>
          <cell r="W183">
            <v>85</v>
          </cell>
          <cell r="X183">
            <v>0.01</v>
          </cell>
          <cell r="Y183">
            <v>9945</v>
          </cell>
          <cell r="AC183">
            <v>9945</v>
          </cell>
          <cell r="AJ183">
            <v>8500</v>
          </cell>
        </row>
        <row r="184">
          <cell r="B184">
            <v>5014</v>
          </cell>
          <cell r="C184" t="str">
            <v>NCR-Ajay</v>
          </cell>
          <cell r="D184" t="str">
            <v>Assets Shifting</v>
          </cell>
          <cell r="E184" t="str">
            <v>DFBP000723009</v>
          </cell>
          <cell r="F184">
            <v>45873</v>
          </cell>
          <cell r="G184" t="str">
            <v>SSS/2025-26/079</v>
          </cell>
          <cell r="H184" t="str">
            <v>Str8 &amp; Secure Services</v>
          </cell>
          <cell r="I184" t="str">
            <v>AQIPG2144B</v>
          </cell>
          <cell r="J184" t="str">
            <v>07AQIPG2144B1ZF</v>
          </cell>
          <cell r="K184" t="str">
            <v>KHEMKARAN ROAD, 138 BATTALION BSF BHIKHIWIND DISTT TARN TARAN.143401</v>
          </cell>
          <cell r="L184" t="str">
            <v>Punjab</v>
          </cell>
          <cell r="M184" t="str">
            <v>KHEWAT KHATONI NO. 81/99 KHASRA NO. 24//1/2/3(2-9)24//10/1/3(1-13) VILLAGE NIAMUMAJRA, TEHSIL BASSI, PATHANA, DISTRICT FATEHGARH SAHIB  140412</v>
          </cell>
          <cell r="N184" t="str">
            <v>Punjab</v>
          </cell>
          <cell r="O184" t="str">
            <v>Assets Shifting</v>
          </cell>
          <cell r="P184">
            <v>5500</v>
          </cell>
          <cell r="Q184">
            <v>0</v>
          </cell>
          <cell r="R184">
            <v>0</v>
          </cell>
          <cell r="S184">
            <v>0</v>
          </cell>
          <cell r="T184">
            <v>990</v>
          </cell>
          <cell r="U184">
            <v>0</v>
          </cell>
          <cell r="V184">
            <v>6490</v>
          </cell>
          <cell r="W184">
            <v>55</v>
          </cell>
          <cell r="X184">
            <v>0.01</v>
          </cell>
          <cell r="Y184">
            <v>6435</v>
          </cell>
          <cell r="AC184">
            <v>6435</v>
          </cell>
          <cell r="AJ184">
            <v>5500</v>
          </cell>
        </row>
        <row r="185">
          <cell r="B185">
            <v>5015</v>
          </cell>
          <cell r="C185" t="str">
            <v>NCR-Ajay</v>
          </cell>
          <cell r="D185" t="str">
            <v>Assets Shifting</v>
          </cell>
          <cell r="E185" t="str">
            <v>DFBP000732049</v>
          </cell>
          <cell r="F185">
            <v>45873</v>
          </cell>
          <cell r="G185" t="str">
            <v>SSS/2025-26/079</v>
          </cell>
          <cell r="H185" t="str">
            <v>Str8 &amp; Secure Services</v>
          </cell>
          <cell r="I185" t="str">
            <v>AQIPG2144B</v>
          </cell>
          <cell r="J185" t="str">
            <v>07AQIPG2144B1ZF</v>
          </cell>
          <cell r="K185" t="str">
            <v>253 EAST MOHAN NAGAR, INDUSTRIAL AREA, AMRITSAR 143001</v>
          </cell>
          <cell r="L185" t="str">
            <v>Punjab</v>
          </cell>
          <cell r="M185" t="str">
            <v>KHEWAT KHATONI NO. 81/99 KHASRA NO. 24//1/2/3(2-9)24//10/1/3(1-13) VILLAGE NIAMUMAJRA, TEHSIL BASSI, PATHANA, DISTRICT FATEHGARH SAHIB  140412</v>
          </cell>
          <cell r="N185" t="str">
            <v>Punjab</v>
          </cell>
          <cell r="O185" t="str">
            <v>Assets Shifting</v>
          </cell>
          <cell r="P185">
            <v>8500</v>
          </cell>
          <cell r="Q185">
            <v>0</v>
          </cell>
          <cell r="R185">
            <v>0</v>
          </cell>
          <cell r="S185">
            <v>0</v>
          </cell>
          <cell r="T185">
            <v>1530</v>
          </cell>
          <cell r="U185">
            <v>0</v>
          </cell>
          <cell r="V185">
            <v>10030</v>
          </cell>
          <cell r="W185">
            <v>85</v>
          </cell>
          <cell r="X185">
            <v>0.01</v>
          </cell>
          <cell r="Y185">
            <v>9945</v>
          </cell>
          <cell r="AC185">
            <v>9945</v>
          </cell>
          <cell r="AJ185">
            <v>8500</v>
          </cell>
        </row>
        <row r="186">
          <cell r="B186">
            <v>5016</v>
          </cell>
          <cell r="C186" t="str">
            <v>NCR-Ajay</v>
          </cell>
          <cell r="D186" t="str">
            <v>Assets Shifting</v>
          </cell>
          <cell r="E186" t="str">
            <v>DFBP000732054</v>
          </cell>
          <cell r="F186">
            <v>45873</v>
          </cell>
          <cell r="G186" t="str">
            <v>SSS/2025-26/079</v>
          </cell>
          <cell r="H186" t="str">
            <v>Str8 &amp; Secure Services</v>
          </cell>
          <cell r="I186" t="str">
            <v>AQIPG2144B</v>
          </cell>
          <cell r="J186" t="str">
            <v>07AQIPG2144B1ZF</v>
          </cell>
          <cell r="K186" t="str">
            <v>Fatehgarh Churian Road,Near Rattan Singh Chowk,Amritsar 143001</v>
          </cell>
          <cell r="L186" t="str">
            <v>Punjab</v>
          </cell>
          <cell r="M186" t="str">
            <v>KHEWAT KHATONI NO. 81/99 KHASRA NO. 24//1/2/3(2-9)24//10/1/3(1-13) VILLAGE NIAMUMAJRA, TEHSIL BASSI, PATHANA, DISTRICT FATEHGARH SAHIB  140412</v>
          </cell>
          <cell r="N186" t="str">
            <v>Punjab</v>
          </cell>
          <cell r="O186" t="str">
            <v>Assets Shifting</v>
          </cell>
          <cell r="P186">
            <v>8500</v>
          </cell>
          <cell r="Q186">
            <v>0</v>
          </cell>
          <cell r="R186">
            <v>0</v>
          </cell>
          <cell r="S186">
            <v>0</v>
          </cell>
          <cell r="T186">
            <v>1530</v>
          </cell>
          <cell r="U186">
            <v>0</v>
          </cell>
          <cell r="V186">
            <v>10030</v>
          </cell>
          <cell r="W186">
            <v>85</v>
          </cell>
          <cell r="X186">
            <v>0.01</v>
          </cell>
          <cell r="Y186">
            <v>9945</v>
          </cell>
          <cell r="AC186">
            <v>9945</v>
          </cell>
          <cell r="AJ186">
            <v>8500</v>
          </cell>
        </row>
        <row r="187">
          <cell r="B187">
            <v>5020</v>
          </cell>
          <cell r="C187" t="str">
            <v>NCR-Ajay</v>
          </cell>
          <cell r="D187" t="str">
            <v>Assets Shifting</v>
          </cell>
          <cell r="E187" t="str">
            <v>DFNP000690015</v>
          </cell>
          <cell r="F187">
            <v>45873</v>
          </cell>
          <cell r="G187" t="str">
            <v>SSS/2025-26/079</v>
          </cell>
          <cell r="H187" t="str">
            <v>Str8 &amp; Secure Services</v>
          </cell>
          <cell r="I187" t="str">
            <v>AQIPG2144B</v>
          </cell>
          <cell r="J187" t="str">
            <v>07AQIPG2144B1ZF</v>
          </cell>
          <cell r="K187" t="str">
            <v>NEAR BAJAJ AUTOMOBILE AGENCY HOSHIARPUR ROAD SAILA KHURAD DISTRICT HOSHIARPUR- 144529</v>
          </cell>
          <cell r="L187" t="str">
            <v>Punjab</v>
          </cell>
          <cell r="M187" t="str">
            <v>KHEWAT KHATONI NO. 81/99 KHASRA NO. 24//1/2/3(2-9)24//10/1/3(1-13) VILLAGE NIAMUMAJRA, TEHSIL BASSI, PATHANA, DISTRICT FATEHGARH SAHIB  140412</v>
          </cell>
          <cell r="N187" t="str">
            <v>Punjab</v>
          </cell>
          <cell r="O187" t="str">
            <v>Assets Shifting</v>
          </cell>
          <cell r="P187">
            <v>7000</v>
          </cell>
          <cell r="Q187">
            <v>0</v>
          </cell>
          <cell r="R187">
            <v>0</v>
          </cell>
          <cell r="S187">
            <v>0</v>
          </cell>
          <cell r="T187">
            <v>1260</v>
          </cell>
          <cell r="U187">
            <v>0</v>
          </cell>
          <cell r="V187">
            <v>8260</v>
          </cell>
          <cell r="W187">
            <v>70</v>
          </cell>
          <cell r="X187">
            <v>0.01</v>
          </cell>
          <cell r="Y187">
            <v>8190</v>
          </cell>
          <cell r="AC187">
            <v>8190</v>
          </cell>
          <cell r="AJ187">
            <v>7000</v>
          </cell>
        </row>
        <row r="188">
          <cell r="B188">
            <v>5021</v>
          </cell>
          <cell r="C188" t="str">
            <v>NCR-Ajay</v>
          </cell>
          <cell r="D188" t="str">
            <v>Assets Shifting</v>
          </cell>
          <cell r="E188" t="str">
            <v>DFBP000653022</v>
          </cell>
          <cell r="F188">
            <v>45873</v>
          </cell>
          <cell r="G188" t="str">
            <v>SSS/2025-26/079</v>
          </cell>
          <cell r="H188" t="str">
            <v>Str8 &amp; Secure Services</v>
          </cell>
          <cell r="I188" t="str">
            <v>AQIPG2144B</v>
          </cell>
          <cell r="J188" t="str">
            <v>07AQIPG2144B1ZF</v>
          </cell>
          <cell r="K188" t="str">
            <v>MANJIT PROVISION STORE JALANDHAR ROAD, PRABHAT CHOWK HOSHIARPUR 146001</v>
          </cell>
          <cell r="L188" t="str">
            <v>Punjab</v>
          </cell>
          <cell r="M188" t="str">
            <v>KHEWAT KHATONI NO. 81/99 KHASRA NO. 24//1/2/3(2-9)24//10/1/3(1-13) VILLAGE NIAMUMAJRA, TEHSIL BASSI, PATHANA, DISTRICT FATEHGARH SAHIB  140412</v>
          </cell>
          <cell r="N188" t="str">
            <v>Punjab</v>
          </cell>
          <cell r="O188" t="str">
            <v>Assets Shifting</v>
          </cell>
          <cell r="P188">
            <v>8500</v>
          </cell>
          <cell r="Q188">
            <v>0</v>
          </cell>
          <cell r="R188">
            <v>0</v>
          </cell>
          <cell r="S188">
            <v>0</v>
          </cell>
          <cell r="T188">
            <v>1530</v>
          </cell>
          <cell r="U188">
            <v>0</v>
          </cell>
          <cell r="V188">
            <v>10030</v>
          </cell>
          <cell r="W188">
            <v>85</v>
          </cell>
          <cell r="X188">
            <v>0.01</v>
          </cell>
          <cell r="Y188">
            <v>9945</v>
          </cell>
          <cell r="AC188">
            <v>9945</v>
          </cell>
          <cell r="AJ188">
            <v>8500</v>
          </cell>
        </row>
        <row r="189">
          <cell r="B189">
            <v>5022</v>
          </cell>
          <cell r="C189" t="str">
            <v>NCR-Ajay</v>
          </cell>
          <cell r="D189" t="str">
            <v>Assets Shifting</v>
          </cell>
          <cell r="E189" t="str">
            <v>DFNP000640025</v>
          </cell>
          <cell r="F189">
            <v>45873</v>
          </cell>
          <cell r="G189" t="str">
            <v>SSS/2025-26/079</v>
          </cell>
          <cell r="H189" t="str">
            <v>Str8 &amp; Secure Services</v>
          </cell>
          <cell r="I189" t="str">
            <v>AQIPG2144B</v>
          </cell>
          <cell r="J189" t="str">
            <v>07AQIPG2144B1ZF</v>
          </cell>
          <cell r="K189" t="str">
            <v>NAMDEV CHOWNK, FEROZEPUR CITY 152002</v>
          </cell>
          <cell r="L189" t="str">
            <v>Punjab</v>
          </cell>
          <cell r="M189" t="str">
            <v>KHEWAT KHATONI NO. 81/99 KHASRA NO. 24//1/2/3(2-9)24//10/1/3(1-13) VILLAGE NIAMUMAJRA, TEHSIL BASSI, PATHANA, DISTRICT FATEHGARH SAHIB  140412</v>
          </cell>
          <cell r="N189" t="str">
            <v>Punjab</v>
          </cell>
          <cell r="O189" t="str">
            <v>Assets Shifting</v>
          </cell>
          <cell r="P189">
            <v>5500</v>
          </cell>
          <cell r="Q189">
            <v>0</v>
          </cell>
          <cell r="R189">
            <v>0</v>
          </cell>
          <cell r="S189">
            <v>0</v>
          </cell>
          <cell r="T189">
            <v>990</v>
          </cell>
          <cell r="U189">
            <v>0</v>
          </cell>
          <cell r="V189">
            <v>6490</v>
          </cell>
          <cell r="W189">
            <v>55</v>
          </cell>
          <cell r="X189">
            <v>0.01</v>
          </cell>
          <cell r="Y189">
            <v>6435</v>
          </cell>
          <cell r="AC189">
            <v>6435</v>
          </cell>
          <cell r="AJ189">
            <v>5500</v>
          </cell>
        </row>
        <row r="190">
          <cell r="B190">
            <v>5023</v>
          </cell>
          <cell r="C190" t="str">
            <v>NCR-Ajay</v>
          </cell>
          <cell r="D190" t="str">
            <v>Assets Shifting</v>
          </cell>
          <cell r="E190" t="str">
            <v>DFBP000640046</v>
          </cell>
          <cell r="F190">
            <v>45873</v>
          </cell>
          <cell r="G190" t="str">
            <v>SSS/2025-26/079</v>
          </cell>
          <cell r="H190" t="str">
            <v>Str8 &amp; Secure Services</v>
          </cell>
          <cell r="I190" t="str">
            <v>AQIPG2144B</v>
          </cell>
          <cell r="J190" t="str">
            <v>07AQIPG2144B1ZF</v>
          </cell>
          <cell r="K190" t="str">
            <v>NAMDEV CHOWNK, FEROZEPUR CITY 152002</v>
          </cell>
          <cell r="L190" t="str">
            <v>Punjab</v>
          </cell>
          <cell r="M190" t="str">
            <v>KHEWAT KHATONI NO. 81/99 KHASRA NO. 24//1/2/3(2-9)24//10/1/3(1-13) VILLAGE NIAMUMAJRA, TEHSIL BASSI, PATHANA, DISTRICT FATEHGARH SAHIB  140412</v>
          </cell>
          <cell r="N190" t="str">
            <v>Punjab</v>
          </cell>
          <cell r="O190" t="str">
            <v>Assets Shifting</v>
          </cell>
          <cell r="P190">
            <v>8500</v>
          </cell>
          <cell r="Q190">
            <v>0</v>
          </cell>
          <cell r="R190">
            <v>0</v>
          </cell>
          <cell r="S190">
            <v>0</v>
          </cell>
          <cell r="T190">
            <v>1530</v>
          </cell>
          <cell r="U190">
            <v>0</v>
          </cell>
          <cell r="V190">
            <v>10030</v>
          </cell>
          <cell r="W190">
            <v>85</v>
          </cell>
          <cell r="X190">
            <v>0.01</v>
          </cell>
          <cell r="Y190">
            <v>9945</v>
          </cell>
          <cell r="AC190">
            <v>9945</v>
          </cell>
          <cell r="AJ190">
            <v>8500</v>
          </cell>
        </row>
        <row r="191">
          <cell r="B191">
            <v>5024</v>
          </cell>
          <cell r="C191" t="str">
            <v>NCR-Ajay</v>
          </cell>
          <cell r="D191" t="str">
            <v>Assets Shifting</v>
          </cell>
          <cell r="E191" t="str">
            <v>DFBP000640014</v>
          </cell>
          <cell r="F191">
            <v>45873</v>
          </cell>
          <cell r="G191" t="str">
            <v>SSS/2025-26/079</v>
          </cell>
          <cell r="H191" t="str">
            <v>Str8 &amp; Secure Services</v>
          </cell>
          <cell r="I191" t="str">
            <v>AQIPG2144B</v>
          </cell>
          <cell r="J191" t="str">
            <v>07AQIPG2144B1ZF</v>
          </cell>
          <cell r="K191" t="str">
            <v>BSF CAMPUS MAMDOT DISTRICT FIROZPUR 152023</v>
          </cell>
          <cell r="L191" t="str">
            <v>Punjab</v>
          </cell>
          <cell r="M191" t="str">
            <v>KHEWAT KHATONI NO. 81/99 KHASRA NO. 24//1/2/3(2-9)24//10/1/3(1-13) VILLAGE NIAMUMAJRA, TEHSIL BASSI, PATHANA, DISTRICT FATEHGARH SAHIB  140412</v>
          </cell>
          <cell r="N191" t="str">
            <v>Punjab</v>
          </cell>
          <cell r="O191" t="str">
            <v>Assets Shifting</v>
          </cell>
          <cell r="P191">
            <v>8500</v>
          </cell>
          <cell r="Q191">
            <v>0</v>
          </cell>
          <cell r="R191">
            <v>0</v>
          </cell>
          <cell r="S191">
            <v>0</v>
          </cell>
          <cell r="T191">
            <v>1530</v>
          </cell>
          <cell r="U191">
            <v>0</v>
          </cell>
          <cell r="V191">
            <v>10030</v>
          </cell>
          <cell r="W191">
            <v>85</v>
          </cell>
          <cell r="X191">
            <v>0.01</v>
          </cell>
          <cell r="Y191">
            <v>9945</v>
          </cell>
          <cell r="AC191">
            <v>9945</v>
          </cell>
          <cell r="AJ191">
            <v>8500</v>
          </cell>
        </row>
        <row r="192">
          <cell r="B192">
            <v>5025</v>
          </cell>
          <cell r="C192" t="str">
            <v>NCR-Ajay</v>
          </cell>
          <cell r="D192" t="str">
            <v>Assets Shifting</v>
          </cell>
          <cell r="E192" t="str">
            <v>DFNP050061006</v>
          </cell>
          <cell r="F192">
            <v>45873</v>
          </cell>
          <cell r="G192" t="str">
            <v>SSS/2025-26/079</v>
          </cell>
          <cell r="H192" t="str">
            <v>Str8 &amp; Secure Services</v>
          </cell>
          <cell r="I192" t="str">
            <v>AQIPG2144B</v>
          </cell>
          <cell r="J192" t="str">
            <v>07AQIPG2144B1ZF</v>
          </cell>
          <cell r="K192" t="str">
            <v>NEAR POLICE STATION, DR. RANJIT SINGH CHOWK, MAKHU 142044</v>
          </cell>
          <cell r="L192" t="str">
            <v>Punjab</v>
          </cell>
          <cell r="M192" t="str">
            <v>KHEWAT KHATONI NO. 81/99 KHASRA NO. 24//1/2/3(2-9)24//10/1/3(1-13) VILLAGE NIAMUMAJRA, TEHSIL BASSI, PATHANA, DISTRICT FATEHGARH SAHIB  140412</v>
          </cell>
          <cell r="N192" t="str">
            <v>Punjab</v>
          </cell>
          <cell r="O192" t="str">
            <v>Assets Shifting</v>
          </cell>
          <cell r="P192">
            <v>8500</v>
          </cell>
          <cell r="Q192">
            <v>0</v>
          </cell>
          <cell r="R192">
            <v>0</v>
          </cell>
          <cell r="S192">
            <v>0</v>
          </cell>
          <cell r="T192">
            <v>1530</v>
          </cell>
          <cell r="U192">
            <v>0</v>
          </cell>
          <cell r="V192">
            <v>10030</v>
          </cell>
          <cell r="W192">
            <v>85</v>
          </cell>
          <cell r="X192">
            <v>0.01</v>
          </cell>
          <cell r="Y192">
            <v>9945</v>
          </cell>
          <cell r="AC192">
            <v>9945</v>
          </cell>
          <cell r="AJ192">
            <v>8500</v>
          </cell>
        </row>
        <row r="193">
          <cell r="B193">
            <v>5028</v>
          </cell>
          <cell r="C193" t="str">
            <v>NCR-Ajay</v>
          </cell>
          <cell r="D193" t="str">
            <v>Assets Shifting</v>
          </cell>
          <cell r="E193" t="str">
            <v>DFNP001259015</v>
          </cell>
          <cell r="F193">
            <v>45873</v>
          </cell>
          <cell r="G193" t="str">
            <v>SSS/2025-26/079</v>
          </cell>
          <cell r="H193" t="str">
            <v>Str8 &amp; Secure Services</v>
          </cell>
          <cell r="I193" t="str">
            <v>AQIPG2144B</v>
          </cell>
          <cell r="J193" t="str">
            <v>07AQIPG2144B1ZF</v>
          </cell>
          <cell r="K193" t="str">
            <v>MAIN ADDA OPPOSITE PETROL PUMP KHASA DISTRICT AMRITSAR 143107</v>
          </cell>
          <cell r="L193" t="str">
            <v>Punjab</v>
          </cell>
          <cell r="M193" t="str">
            <v>KHEWAT KHATONI NO. 81/99 KHASRA NO. 24//1/2/3(2-9)24//10/1/3(1-13) VILLAGE NIAMUMAJRA, TEHSIL BASSI, PATHANA, DISTRICT FATEHGARH SAHIB  140412</v>
          </cell>
          <cell r="N193" t="str">
            <v>Punjab</v>
          </cell>
          <cell r="O193" t="str">
            <v>Assets Shifting</v>
          </cell>
          <cell r="P193">
            <v>8500</v>
          </cell>
          <cell r="Q193">
            <v>0</v>
          </cell>
          <cell r="R193">
            <v>0</v>
          </cell>
          <cell r="S193">
            <v>0</v>
          </cell>
          <cell r="T193">
            <v>1530</v>
          </cell>
          <cell r="U193">
            <v>0</v>
          </cell>
          <cell r="V193">
            <v>10030</v>
          </cell>
          <cell r="W193">
            <v>85</v>
          </cell>
          <cell r="X193">
            <v>0.01</v>
          </cell>
          <cell r="Y193">
            <v>9945</v>
          </cell>
          <cell r="AC193">
            <v>9945</v>
          </cell>
          <cell r="AJ193">
            <v>8500</v>
          </cell>
        </row>
        <row r="194">
          <cell r="B194">
            <v>5029</v>
          </cell>
          <cell r="C194" t="str">
            <v>NCR-Ajay</v>
          </cell>
          <cell r="D194" t="str">
            <v>Assets Shifting</v>
          </cell>
          <cell r="E194" t="str">
            <v>DFNP001259005</v>
          </cell>
          <cell r="F194">
            <v>45873</v>
          </cell>
          <cell r="G194" t="str">
            <v>SSS/2025-26/079</v>
          </cell>
          <cell r="H194" t="str">
            <v>Str8 &amp; Secure Services</v>
          </cell>
          <cell r="I194" t="str">
            <v>AQIPG2144B</v>
          </cell>
          <cell r="J194" t="str">
            <v>07AQIPG2144B1ZF</v>
          </cell>
          <cell r="K194" t="str">
            <v>ADDA ATTARI NR CO-OPERATIVE BANK AMRITSAR 143108</v>
          </cell>
          <cell r="L194" t="str">
            <v>Punjab</v>
          </cell>
          <cell r="M194" t="str">
            <v>KHEWAT KHATONI NO. 81/99 KHASRA NO. 24//1/2/3(2-9)24//10/1/3(1-13) VILLAGE NIAMUMAJRA, TEHSIL BASSI, PATHANA, DISTRICT FATEHGARH SAHIB  140412</v>
          </cell>
          <cell r="N194" t="str">
            <v>Punjab</v>
          </cell>
          <cell r="O194" t="str">
            <v>Assets Shifting</v>
          </cell>
          <cell r="P194">
            <v>7000</v>
          </cell>
          <cell r="Q194">
            <v>0</v>
          </cell>
          <cell r="R194">
            <v>0</v>
          </cell>
          <cell r="S194">
            <v>0</v>
          </cell>
          <cell r="T194">
            <v>1260</v>
          </cell>
          <cell r="U194">
            <v>0</v>
          </cell>
          <cell r="V194">
            <v>8260</v>
          </cell>
          <cell r="W194">
            <v>70</v>
          </cell>
          <cell r="X194">
            <v>0.01</v>
          </cell>
          <cell r="Y194">
            <v>8190</v>
          </cell>
          <cell r="AC194">
            <v>8190</v>
          </cell>
          <cell r="AJ194">
            <v>7000</v>
          </cell>
        </row>
        <row r="195">
          <cell r="B195">
            <v>5030</v>
          </cell>
          <cell r="C195" t="str">
            <v>NCR-Ajay</v>
          </cell>
          <cell r="D195" t="str">
            <v>Assets Shifting</v>
          </cell>
          <cell r="E195" t="str">
            <v>DFNP000732032</v>
          </cell>
          <cell r="F195">
            <v>45873</v>
          </cell>
          <cell r="G195" t="str">
            <v>SSS/2025-26/079</v>
          </cell>
          <cell r="H195" t="str">
            <v>Str8 &amp; Secure Services</v>
          </cell>
          <cell r="I195" t="str">
            <v>AQIPG2144B</v>
          </cell>
          <cell r="J195" t="str">
            <v>07AQIPG2144B1ZF</v>
          </cell>
          <cell r="K195" t="str">
            <v>SHOP NO 2645/7, NEAR SATIJA MEDICAL STORE, INSIDE BHAGTANWALA GATE AMRITSAR 143001</v>
          </cell>
          <cell r="L195" t="str">
            <v>Punjab</v>
          </cell>
          <cell r="M195" t="str">
            <v>KHEWAT KHATONI NO. 81/99 KHASRA NO. 24//1/2/3(2-9)24//10/1/3(1-13) VILLAGE NIAMUMAJRA, TEHSIL BASSI, PATHANA, DISTRICT FATEHGARH SAHIB  140412</v>
          </cell>
          <cell r="N195" t="str">
            <v>Punjab</v>
          </cell>
          <cell r="O195" t="str">
            <v>Assets Shifting</v>
          </cell>
          <cell r="P195">
            <v>7000</v>
          </cell>
          <cell r="Q195">
            <v>0</v>
          </cell>
          <cell r="R195">
            <v>0</v>
          </cell>
          <cell r="S195">
            <v>0</v>
          </cell>
          <cell r="T195">
            <v>1260</v>
          </cell>
          <cell r="U195">
            <v>0</v>
          </cell>
          <cell r="V195">
            <v>8260</v>
          </cell>
          <cell r="W195">
            <v>70</v>
          </cell>
          <cell r="X195">
            <v>0.01</v>
          </cell>
          <cell r="Y195">
            <v>8190</v>
          </cell>
          <cell r="AC195">
            <v>8190</v>
          </cell>
          <cell r="AJ195">
            <v>7000</v>
          </cell>
        </row>
        <row r="196">
          <cell r="B196">
            <v>5031</v>
          </cell>
          <cell r="C196" t="str">
            <v>NCR-Ajay</v>
          </cell>
          <cell r="D196" t="str">
            <v>Assets Shifting</v>
          </cell>
          <cell r="E196" t="str">
            <v>DFNP000732038</v>
          </cell>
          <cell r="F196">
            <v>45873</v>
          </cell>
          <cell r="G196" t="str">
            <v>SSS/2025-26/079</v>
          </cell>
          <cell r="H196" t="str">
            <v>Str8 &amp; Secure Services</v>
          </cell>
          <cell r="I196" t="str">
            <v>AQIPG2144B</v>
          </cell>
          <cell r="J196" t="str">
            <v>07AQIPG2144B1ZF</v>
          </cell>
          <cell r="K196" t="str">
            <v>1E/7 Opposite Satya Narayan Mandir, Near Raj Trading Company, Lahori Gate, Amritsar 143001</v>
          </cell>
          <cell r="L196" t="str">
            <v>Punjab</v>
          </cell>
          <cell r="M196" t="str">
            <v>KHEWAT KHATONI NO. 81/99 KHASRA NO. 24//1/2/3(2-9)24//10/1/3(1-13) VILLAGE NIAMUMAJRA, TEHSIL BASSI, PATHANA, DISTRICT FATEHGARH SAHIB  140412</v>
          </cell>
          <cell r="N196" t="str">
            <v>Punjab</v>
          </cell>
          <cell r="O196" t="str">
            <v>Assets Shifting</v>
          </cell>
          <cell r="P196">
            <v>8500</v>
          </cell>
          <cell r="Q196">
            <v>0</v>
          </cell>
          <cell r="R196">
            <v>0</v>
          </cell>
          <cell r="S196">
            <v>0</v>
          </cell>
          <cell r="T196">
            <v>1530</v>
          </cell>
          <cell r="U196">
            <v>0</v>
          </cell>
          <cell r="V196">
            <v>10030</v>
          </cell>
          <cell r="W196">
            <v>85</v>
          </cell>
          <cell r="X196">
            <v>0.01</v>
          </cell>
          <cell r="Y196">
            <v>9945</v>
          </cell>
          <cell r="AC196">
            <v>9945</v>
          </cell>
          <cell r="AJ196">
            <v>8500</v>
          </cell>
        </row>
        <row r="197">
          <cell r="B197">
            <v>5032</v>
          </cell>
          <cell r="C197" t="str">
            <v>NCR-Ajay</v>
          </cell>
          <cell r="D197" t="str">
            <v>Assets Shifting</v>
          </cell>
          <cell r="E197" t="str">
            <v>DFNP001259010</v>
          </cell>
          <cell r="F197">
            <v>45873</v>
          </cell>
          <cell r="G197" t="str">
            <v>SSS/2025-26/079</v>
          </cell>
          <cell r="H197" t="str">
            <v>Str8 &amp; Secure Services</v>
          </cell>
          <cell r="I197" t="str">
            <v>AQIPG2144B</v>
          </cell>
          <cell r="J197" t="str">
            <v>07AQIPG2144B1ZF</v>
          </cell>
          <cell r="K197" t="str">
            <v>GATE NO 3 BSF CAMP KHASSA, ATTARI ROAD, AMRITSAR.143001</v>
          </cell>
          <cell r="L197" t="str">
            <v>Punjab</v>
          </cell>
          <cell r="M197" t="str">
            <v>KHEWAT KHATONI NO. 81/99 KHASRA NO. 24//1/2/3(2-9)24//10/1/3(1-13) VILLAGE NIAMUMAJRA, TEHSIL BASSI, PATHANA, DISTRICT FATEHGARH SAHIB  140412</v>
          </cell>
          <cell r="N197" t="str">
            <v>Punjab</v>
          </cell>
          <cell r="O197" t="str">
            <v>Assets Shifting</v>
          </cell>
          <cell r="P197">
            <v>8500</v>
          </cell>
          <cell r="Q197">
            <v>0</v>
          </cell>
          <cell r="R197">
            <v>0</v>
          </cell>
          <cell r="S197">
            <v>0</v>
          </cell>
          <cell r="T197">
            <v>1530</v>
          </cell>
          <cell r="U197">
            <v>0</v>
          </cell>
          <cell r="V197">
            <v>10030</v>
          </cell>
          <cell r="W197">
            <v>85</v>
          </cell>
          <cell r="X197">
            <v>0.01</v>
          </cell>
          <cell r="Y197">
            <v>9945</v>
          </cell>
          <cell r="AC197">
            <v>9945</v>
          </cell>
          <cell r="AJ197">
            <v>8500</v>
          </cell>
        </row>
        <row r="198">
          <cell r="B198">
            <v>5033</v>
          </cell>
          <cell r="C198" t="str">
            <v>NCR-Ajay</v>
          </cell>
          <cell r="D198" t="str">
            <v>Assets Shifting</v>
          </cell>
          <cell r="E198" t="str">
            <v>DFBP000723013</v>
          </cell>
          <cell r="F198">
            <v>45873</v>
          </cell>
          <cell r="G198" t="str">
            <v>SSS/2025-26/079</v>
          </cell>
          <cell r="H198" t="str">
            <v>Str8 &amp; Secure Services</v>
          </cell>
          <cell r="I198" t="str">
            <v>AQIPG2144B</v>
          </cell>
          <cell r="J198" t="str">
            <v>07AQIPG2144B1ZF</v>
          </cell>
          <cell r="K198" t="str">
            <v>vpo sabraan,distt taran taaran,near gill electrition 143401</v>
          </cell>
          <cell r="L198" t="str">
            <v>Punjab</v>
          </cell>
          <cell r="M198" t="str">
            <v>KHEWAT KHATONI NO. 81/99 KHASRA NO. 24//1/2/3(2-9)24//10/1/3(1-13) VILLAGE NIAMUMAJRA, TEHSIL BASSI, PATHANA, DISTRICT FATEHGARH SAHIB  140412</v>
          </cell>
          <cell r="N198" t="str">
            <v>Punjab</v>
          </cell>
          <cell r="O198" t="str">
            <v>Assets Shifting</v>
          </cell>
          <cell r="P198">
            <v>8500</v>
          </cell>
          <cell r="Q198">
            <v>0</v>
          </cell>
          <cell r="R198">
            <v>0</v>
          </cell>
          <cell r="S198">
            <v>0</v>
          </cell>
          <cell r="T198">
            <v>1530</v>
          </cell>
          <cell r="U198">
            <v>0</v>
          </cell>
          <cell r="V198">
            <v>10030</v>
          </cell>
          <cell r="W198">
            <v>85</v>
          </cell>
          <cell r="X198">
            <v>0.01</v>
          </cell>
          <cell r="Y198">
            <v>9945</v>
          </cell>
          <cell r="AC198">
            <v>9945</v>
          </cell>
          <cell r="AJ198">
            <v>8500</v>
          </cell>
        </row>
        <row r="199">
          <cell r="B199">
            <v>5034</v>
          </cell>
          <cell r="C199" t="str">
            <v>NCR-Ajay</v>
          </cell>
          <cell r="D199" t="str">
            <v>Assets Shifting</v>
          </cell>
          <cell r="E199" t="str">
            <v>DFBP000723014</v>
          </cell>
          <cell r="F199">
            <v>45873</v>
          </cell>
          <cell r="G199" t="str">
            <v>SSS/2025-26/079</v>
          </cell>
          <cell r="H199" t="str">
            <v>Str8 &amp; Secure Services</v>
          </cell>
          <cell r="I199" t="str">
            <v>AQIPG2144B</v>
          </cell>
          <cell r="J199" t="str">
            <v>07AQIPG2144B1ZF</v>
          </cell>
          <cell r="K199" t="str">
            <v>Gali Mandir wali,Bhikhiwind,Distt Taran Taaran 143401</v>
          </cell>
          <cell r="L199" t="str">
            <v>Punjab</v>
          </cell>
          <cell r="M199" t="str">
            <v>KHEWAT KHATONI NO. 81/99 KHASRA NO. 24//1/2/3(2-9)24//10/1/3(1-13) VILLAGE NIAMUMAJRA, TEHSIL BASSI, PATHANA, DISTRICT FATEHGARH SAHIB  140412</v>
          </cell>
          <cell r="N199" t="str">
            <v>Punjab</v>
          </cell>
          <cell r="O199" t="str">
            <v>Assets Shifting</v>
          </cell>
          <cell r="P199">
            <v>8500</v>
          </cell>
          <cell r="Q199">
            <v>0</v>
          </cell>
          <cell r="R199">
            <v>0</v>
          </cell>
          <cell r="S199">
            <v>0</v>
          </cell>
          <cell r="T199">
            <v>1530</v>
          </cell>
          <cell r="U199">
            <v>0</v>
          </cell>
          <cell r="V199">
            <v>10030</v>
          </cell>
          <cell r="W199">
            <v>85</v>
          </cell>
          <cell r="X199">
            <v>0.01</v>
          </cell>
          <cell r="Y199">
            <v>9945</v>
          </cell>
          <cell r="AC199">
            <v>9945</v>
          </cell>
          <cell r="AJ199">
            <v>8500</v>
          </cell>
        </row>
        <row r="200">
          <cell r="B200">
            <v>5035</v>
          </cell>
          <cell r="C200" t="str">
            <v>NCR-Ajay</v>
          </cell>
          <cell r="D200" t="str">
            <v>Assets Shifting</v>
          </cell>
          <cell r="E200" t="str">
            <v>DFBP050065005</v>
          </cell>
          <cell r="F200">
            <v>45873</v>
          </cell>
          <cell r="G200" t="str">
            <v>SSS/2025-26/079</v>
          </cell>
          <cell r="H200" t="str">
            <v>Str8 &amp; Secure Services</v>
          </cell>
          <cell r="I200" t="str">
            <v>AQIPG2144B</v>
          </cell>
          <cell r="J200" t="str">
            <v>07AQIPG2144B1ZF</v>
          </cell>
          <cell r="K200" t="str">
            <v>SHOP NO 8-B, JAGGI MARKET, NEAR PNB BANK, KANJLI ROAD, DISTRICT KAPURTHALA 144601</v>
          </cell>
          <cell r="L200" t="str">
            <v>Punjab</v>
          </cell>
          <cell r="M200" t="str">
            <v>KHEWAT KHATONI NO. 81/99 KHASRA NO. 24//1/2/3(2-9)24//10/1/3(1-13) VILLAGE NIAMUMAJRA, TEHSIL BASSI, PATHANA, DISTRICT FATEHGARH SAHIB  140412</v>
          </cell>
          <cell r="N200" t="str">
            <v>Punjab</v>
          </cell>
          <cell r="O200" t="str">
            <v>Assets Shifting</v>
          </cell>
          <cell r="P200">
            <v>8500</v>
          </cell>
          <cell r="Q200">
            <v>0</v>
          </cell>
          <cell r="R200">
            <v>0</v>
          </cell>
          <cell r="S200">
            <v>0</v>
          </cell>
          <cell r="T200">
            <v>1530</v>
          </cell>
          <cell r="U200">
            <v>0</v>
          </cell>
          <cell r="V200">
            <v>10030</v>
          </cell>
          <cell r="W200">
            <v>85</v>
          </cell>
          <cell r="X200">
            <v>0.01</v>
          </cell>
          <cell r="Y200">
            <v>9945</v>
          </cell>
          <cell r="AC200">
            <v>9945</v>
          </cell>
          <cell r="AJ200">
            <v>8500</v>
          </cell>
        </row>
        <row r="201">
          <cell r="B201">
            <v>5036</v>
          </cell>
          <cell r="C201" t="str">
            <v>NCR-Ajay</v>
          </cell>
          <cell r="D201" t="str">
            <v>Assets Shifting</v>
          </cell>
          <cell r="E201" t="str">
            <v>DFNP050069003</v>
          </cell>
          <cell r="F201">
            <v>45873</v>
          </cell>
          <cell r="G201" t="str">
            <v>SSS/2025-26/079</v>
          </cell>
          <cell r="H201" t="str">
            <v>Str8 &amp; Secure Services</v>
          </cell>
          <cell r="I201" t="str">
            <v>AQIPG2144B</v>
          </cell>
          <cell r="J201" t="str">
            <v>07AQIPG2144B1ZF</v>
          </cell>
          <cell r="K201" t="str">
            <v>SBI KARTARPUR JALANDHAR 144801</v>
          </cell>
          <cell r="L201" t="str">
            <v>Punjab</v>
          </cell>
          <cell r="M201" t="str">
            <v>KHEWAT KHATONI NO. 81/99 KHASRA NO. 24//1/2/3(2-9)24//10/1/3(1-13) VILLAGE NIAMUMAJRA, TEHSIL BASSI, PATHANA, DISTRICT FATEHGARH SAHIB  140412</v>
          </cell>
          <cell r="N201" t="str">
            <v>Punjab</v>
          </cell>
          <cell r="O201" t="str">
            <v>Assets Shifting</v>
          </cell>
          <cell r="P201">
            <v>5500</v>
          </cell>
          <cell r="Q201">
            <v>0</v>
          </cell>
          <cell r="R201">
            <v>0</v>
          </cell>
          <cell r="S201">
            <v>0</v>
          </cell>
          <cell r="T201">
            <v>990</v>
          </cell>
          <cell r="U201">
            <v>0</v>
          </cell>
          <cell r="V201">
            <v>6490</v>
          </cell>
          <cell r="W201">
            <v>55</v>
          </cell>
          <cell r="X201">
            <v>0.01</v>
          </cell>
          <cell r="Y201">
            <v>6435</v>
          </cell>
          <cell r="AC201">
            <v>6435</v>
          </cell>
          <cell r="AJ201">
            <v>5500</v>
          </cell>
        </row>
        <row r="202">
          <cell r="B202">
            <v>5037</v>
          </cell>
          <cell r="C202" t="str">
            <v>NCR-Ajay</v>
          </cell>
          <cell r="D202" t="str">
            <v>Assets Shifting</v>
          </cell>
          <cell r="E202" t="str">
            <v>DFNP000660044</v>
          </cell>
          <cell r="F202">
            <v>45873</v>
          </cell>
          <cell r="G202" t="str">
            <v>SSS/2025-26/079</v>
          </cell>
          <cell r="H202" t="str">
            <v>Str8 &amp; Secure Services</v>
          </cell>
          <cell r="I202" t="str">
            <v>AQIPG2144B</v>
          </cell>
          <cell r="J202" t="str">
            <v>07AQIPG2144B1ZF</v>
          </cell>
          <cell r="K202" t="str">
            <v>SHOP NO 157,SUGAR MILL ROAD,BINPALKE BHOGPUR JALANDHAR 144201</v>
          </cell>
          <cell r="L202" t="str">
            <v>Punjab</v>
          </cell>
          <cell r="M202" t="str">
            <v>KHEWAT KHATONI NO. 81/99 KHASRA NO. 24//1/2/3(2-9)24//10/1/3(1-13) VILLAGE NIAMUMAJRA, TEHSIL BASSI, PATHANA, DISTRICT FATEHGARH SAHIB  140412</v>
          </cell>
          <cell r="N202" t="str">
            <v>Punjab</v>
          </cell>
          <cell r="O202" t="str">
            <v>Assets Shifting</v>
          </cell>
          <cell r="P202">
            <v>8500</v>
          </cell>
          <cell r="Q202">
            <v>0</v>
          </cell>
          <cell r="R202">
            <v>0</v>
          </cell>
          <cell r="S202">
            <v>0</v>
          </cell>
          <cell r="T202">
            <v>1530</v>
          </cell>
          <cell r="U202">
            <v>0</v>
          </cell>
          <cell r="V202">
            <v>10030</v>
          </cell>
          <cell r="W202">
            <v>85</v>
          </cell>
          <cell r="X202">
            <v>0.01</v>
          </cell>
          <cell r="Y202">
            <v>9945</v>
          </cell>
          <cell r="AC202">
            <v>9945</v>
          </cell>
          <cell r="AJ202">
            <v>8500</v>
          </cell>
        </row>
        <row r="203">
          <cell r="B203">
            <v>5038</v>
          </cell>
          <cell r="C203" t="str">
            <v>NCR-Ajay</v>
          </cell>
          <cell r="D203" t="str">
            <v>Assets Shifting</v>
          </cell>
          <cell r="E203" t="str">
            <v>DFBP050030006</v>
          </cell>
          <cell r="F203">
            <v>45873</v>
          </cell>
          <cell r="G203" t="str">
            <v>SSS/2025-26/079</v>
          </cell>
          <cell r="H203" t="str">
            <v>Str8 &amp; Secure Services</v>
          </cell>
          <cell r="I203" t="str">
            <v>AQIPG2144B</v>
          </cell>
          <cell r="J203" t="str">
            <v>07AQIPG2144B1ZF</v>
          </cell>
          <cell r="K203" t="str">
            <v>Bhagawti trading co., near Taxi Stand patran. 147105</v>
          </cell>
          <cell r="L203" t="str">
            <v>Punjab</v>
          </cell>
          <cell r="M203" t="str">
            <v>KHEWAT KHATONI NO. 81/99 KHASRA NO. 24//1/2/3(2-9)24//10/1/3(1-13) VILLAGE NIAMUMAJRA, TEHSIL BASSI, PATHANA, DISTRICT FATEHGARH SAHIB  140412</v>
          </cell>
          <cell r="N203" t="str">
            <v>Punjab</v>
          </cell>
          <cell r="O203" t="str">
            <v>Assets Shifting</v>
          </cell>
          <cell r="P203">
            <v>7000</v>
          </cell>
          <cell r="Q203">
            <v>0</v>
          </cell>
          <cell r="R203">
            <v>0</v>
          </cell>
          <cell r="S203">
            <v>0</v>
          </cell>
          <cell r="T203">
            <v>1260</v>
          </cell>
          <cell r="U203">
            <v>0</v>
          </cell>
          <cell r="V203">
            <v>8260</v>
          </cell>
          <cell r="W203">
            <v>70</v>
          </cell>
          <cell r="X203">
            <v>0.01</v>
          </cell>
          <cell r="Y203">
            <v>8190</v>
          </cell>
          <cell r="AC203">
            <v>8190</v>
          </cell>
          <cell r="AJ203">
            <v>7000</v>
          </cell>
        </row>
        <row r="204">
          <cell r="B204">
            <v>5039</v>
          </cell>
          <cell r="C204" t="str">
            <v>NCR-Ajay</v>
          </cell>
          <cell r="D204" t="str">
            <v>Assets Shifting</v>
          </cell>
          <cell r="E204" t="str">
            <v>DFNP000639031</v>
          </cell>
          <cell r="F204">
            <v>45873</v>
          </cell>
          <cell r="G204" t="str">
            <v>SSS/2025-26/079</v>
          </cell>
          <cell r="H204" t="str">
            <v>Str8 &amp; Secure Services</v>
          </cell>
          <cell r="I204" t="str">
            <v>AQIPG2144B</v>
          </cell>
          <cell r="J204" t="str">
            <v>07AQIPG2144B1ZF</v>
          </cell>
          <cell r="K204" t="str">
            <v>KESARA NAGRI,NEAR CHANDI RAM PETROL PUM,OLD FAZILKA ROAD,ABOHAR 152116</v>
          </cell>
          <cell r="L204" t="str">
            <v>Punjab</v>
          </cell>
          <cell r="M204" t="str">
            <v>KHEWAT KHATONI NO. 81/99 KHASRA NO. 24//1/2/3(2-9)24//10/1/3(1-13) VILLAGE NIAMUMAJRA, TEHSIL BASSI, PATHANA, DISTRICT FATEHGARH SAHIB  140412</v>
          </cell>
          <cell r="N204" t="str">
            <v>Punjab</v>
          </cell>
          <cell r="O204" t="str">
            <v>Assets Shifting</v>
          </cell>
          <cell r="P204">
            <v>5500</v>
          </cell>
          <cell r="Q204">
            <v>0</v>
          </cell>
          <cell r="R204">
            <v>0</v>
          </cell>
          <cell r="S204">
            <v>0</v>
          </cell>
          <cell r="T204">
            <v>990</v>
          </cell>
          <cell r="U204">
            <v>0</v>
          </cell>
          <cell r="V204">
            <v>6490</v>
          </cell>
          <cell r="W204">
            <v>55</v>
          </cell>
          <cell r="X204">
            <v>0.01</v>
          </cell>
          <cell r="Y204">
            <v>6435</v>
          </cell>
          <cell r="AC204">
            <v>6435</v>
          </cell>
          <cell r="AJ204">
            <v>5500</v>
          </cell>
        </row>
        <row r="205">
          <cell r="B205">
            <v>5040</v>
          </cell>
          <cell r="C205" t="str">
            <v>NCR-Ajay</v>
          </cell>
          <cell r="D205" t="str">
            <v>Assets Shifting</v>
          </cell>
          <cell r="E205" t="str">
            <v>DFNP000639033</v>
          </cell>
          <cell r="F205">
            <v>45873</v>
          </cell>
          <cell r="G205" t="str">
            <v>SSS/2025-26/079</v>
          </cell>
          <cell r="H205" t="str">
            <v>Str8 &amp; Secure Services</v>
          </cell>
          <cell r="I205" t="str">
            <v>AQIPG2144B</v>
          </cell>
          <cell r="J205" t="str">
            <v>07AQIPG2144B1ZF</v>
          </cell>
          <cell r="K205" t="str">
            <v>Collage Road, Opp Giorgio Hotel Abohar 152116</v>
          </cell>
          <cell r="L205" t="str">
            <v>Punjab</v>
          </cell>
          <cell r="M205" t="str">
            <v>KHEWAT KHATONI NO. 81/99 KHASRA NO. 24//1/2/3(2-9)24//10/1/3(1-13) VILLAGE NIAMUMAJRA, TEHSIL BASSI, PATHANA, DISTRICT FATEHGARH SAHIB  140412</v>
          </cell>
          <cell r="N205" t="str">
            <v>Punjab</v>
          </cell>
          <cell r="O205" t="str">
            <v>Assets Shifting</v>
          </cell>
          <cell r="P205">
            <v>8500</v>
          </cell>
          <cell r="Q205">
            <v>0</v>
          </cell>
          <cell r="R205">
            <v>0</v>
          </cell>
          <cell r="S205">
            <v>0</v>
          </cell>
          <cell r="T205">
            <v>1530</v>
          </cell>
          <cell r="U205">
            <v>0</v>
          </cell>
          <cell r="V205">
            <v>10030</v>
          </cell>
          <cell r="W205">
            <v>85</v>
          </cell>
          <cell r="X205">
            <v>0.01</v>
          </cell>
          <cell r="Y205">
            <v>9945</v>
          </cell>
          <cell r="AC205">
            <v>9945</v>
          </cell>
          <cell r="AJ205">
            <v>8500</v>
          </cell>
        </row>
        <row r="206">
          <cell r="B206">
            <v>5041</v>
          </cell>
          <cell r="C206" t="str">
            <v>NCR-Ajay</v>
          </cell>
          <cell r="D206" t="str">
            <v>Assets Shifting</v>
          </cell>
          <cell r="E206" t="str">
            <v>DFNP061067239</v>
          </cell>
          <cell r="F206">
            <v>45873</v>
          </cell>
          <cell r="G206" t="str">
            <v>SSS/2025-26/079</v>
          </cell>
          <cell r="H206" t="str">
            <v>Str8 &amp; Secure Services</v>
          </cell>
          <cell r="I206" t="str">
            <v>AQIPG2144B</v>
          </cell>
          <cell r="J206" t="str">
            <v>07AQIPG2144B1ZF</v>
          </cell>
          <cell r="K206" t="str">
            <v>OPPOSITE  BUS STAND MORINDA Dist. ROPAR 140101</v>
          </cell>
          <cell r="L206" t="str">
            <v>Punjab</v>
          </cell>
          <cell r="M206" t="str">
            <v>KHEWAT KHATONI NO. 81/99 KHASRA NO. 24//1/2/3(2-9)24//10/1/3(1-13) VILLAGE NIAMUMAJRA, TEHSIL BASSI, PATHANA, DISTRICT FATEHGARH SAHIB  140412</v>
          </cell>
          <cell r="N206" t="str">
            <v>Punjab</v>
          </cell>
          <cell r="O206" t="str">
            <v>Assets Shifting</v>
          </cell>
          <cell r="P206">
            <v>8500</v>
          </cell>
          <cell r="Q206">
            <v>0</v>
          </cell>
          <cell r="R206">
            <v>0</v>
          </cell>
          <cell r="S206">
            <v>0</v>
          </cell>
          <cell r="T206">
            <v>1530</v>
          </cell>
          <cell r="U206">
            <v>0</v>
          </cell>
          <cell r="V206">
            <v>10030</v>
          </cell>
          <cell r="W206">
            <v>85</v>
          </cell>
          <cell r="X206">
            <v>0.01</v>
          </cell>
          <cell r="Y206">
            <v>9945</v>
          </cell>
          <cell r="AC206">
            <v>9945</v>
          </cell>
          <cell r="AJ206">
            <v>8500</v>
          </cell>
        </row>
        <row r="207">
          <cell r="B207">
            <v>5042</v>
          </cell>
          <cell r="C207" t="str">
            <v>NCR-Ajay</v>
          </cell>
          <cell r="D207" t="str">
            <v>Assets Shifting</v>
          </cell>
          <cell r="E207" t="str">
            <v>DFBP001431008</v>
          </cell>
          <cell r="F207">
            <v>45873</v>
          </cell>
          <cell r="G207" t="str">
            <v>SSS/2025-26/079</v>
          </cell>
          <cell r="H207" t="str">
            <v>Str8 &amp; Secure Services</v>
          </cell>
          <cell r="I207" t="str">
            <v>AQIPG2144B</v>
          </cell>
          <cell r="J207" t="str">
            <v>07AQIPG2144B1ZF</v>
          </cell>
          <cell r="K207" t="str">
            <v>BOOTH NO 65 URBAN ESTATE PHAGWARA KAPURTHALA 144401</v>
          </cell>
          <cell r="L207" t="str">
            <v>Punjab</v>
          </cell>
          <cell r="M207" t="str">
            <v>KHEWAT KHATONI NO. 81/99 KHASRA NO. 24//1/2/3(2-9)24//10/1/3(1-13) VILLAGE NIAMUMAJRA, TEHSIL BASSI, PATHANA, DISTRICT FATEHGARH SAHIB  140412</v>
          </cell>
          <cell r="N207" t="str">
            <v>Punjab</v>
          </cell>
          <cell r="O207" t="str">
            <v>Assets Shifting</v>
          </cell>
          <cell r="P207">
            <v>7000</v>
          </cell>
          <cell r="Q207">
            <v>0</v>
          </cell>
          <cell r="R207">
            <v>0</v>
          </cell>
          <cell r="S207">
            <v>0</v>
          </cell>
          <cell r="T207">
            <v>1260</v>
          </cell>
          <cell r="U207">
            <v>0</v>
          </cell>
          <cell r="V207">
            <v>8260</v>
          </cell>
          <cell r="W207">
            <v>70</v>
          </cell>
          <cell r="X207">
            <v>0.01</v>
          </cell>
          <cell r="Y207">
            <v>8190</v>
          </cell>
          <cell r="AC207">
            <v>8190</v>
          </cell>
          <cell r="AJ207">
            <v>7000</v>
          </cell>
        </row>
        <row r="208">
          <cell r="B208">
            <v>5043</v>
          </cell>
          <cell r="C208" t="str">
            <v>NCR-Ajay</v>
          </cell>
          <cell r="D208" t="str">
            <v>Assets Shifting</v>
          </cell>
          <cell r="E208" t="str">
            <v>DFBP001431009</v>
          </cell>
          <cell r="F208">
            <v>45873</v>
          </cell>
          <cell r="G208" t="str">
            <v>SSS/2025-26/079</v>
          </cell>
          <cell r="H208" t="str">
            <v>Str8 &amp; Secure Services</v>
          </cell>
          <cell r="I208" t="str">
            <v>AQIPG2144B</v>
          </cell>
          <cell r="J208" t="str">
            <v>07AQIPG2144B1ZF</v>
          </cell>
          <cell r="K208" t="str">
            <v>CHAL NAGAR OPP. CIVIL HOSPITAL PHAGWARA KAPURTHALA 144001</v>
          </cell>
          <cell r="L208" t="str">
            <v>Punjab</v>
          </cell>
          <cell r="M208" t="str">
            <v>KHEWAT KHATONI NO. 81/99 KHASRA NO. 24//1/2/3(2-9)24//10/1/3(1-13) VILLAGE NIAMUMAJRA, TEHSIL BASSI, PATHANA, DISTRICT FATEHGARH SAHIB  140412</v>
          </cell>
          <cell r="N208" t="str">
            <v>Punjab</v>
          </cell>
          <cell r="O208" t="str">
            <v>Assets Shifting</v>
          </cell>
          <cell r="P208">
            <v>8500</v>
          </cell>
          <cell r="Q208">
            <v>0</v>
          </cell>
          <cell r="R208">
            <v>0</v>
          </cell>
          <cell r="S208">
            <v>0</v>
          </cell>
          <cell r="T208">
            <v>1530</v>
          </cell>
          <cell r="U208">
            <v>0</v>
          </cell>
          <cell r="V208">
            <v>10030</v>
          </cell>
          <cell r="W208">
            <v>85</v>
          </cell>
          <cell r="X208">
            <v>0.01</v>
          </cell>
          <cell r="Y208">
            <v>9945</v>
          </cell>
          <cell r="AC208">
            <v>9945</v>
          </cell>
          <cell r="AJ208">
            <v>8500</v>
          </cell>
        </row>
        <row r="209">
          <cell r="B209">
            <v>5044</v>
          </cell>
          <cell r="C209" t="str">
            <v>NCR-Ajay</v>
          </cell>
          <cell r="D209" t="str">
            <v>Assets Shifting</v>
          </cell>
          <cell r="E209" t="str">
            <v>DFBP001431012</v>
          </cell>
          <cell r="F209">
            <v>45873</v>
          </cell>
          <cell r="G209" t="str">
            <v>SSS/2025-26/079</v>
          </cell>
          <cell r="H209" t="str">
            <v>Str8 &amp; Secure Services</v>
          </cell>
          <cell r="I209" t="str">
            <v>AQIPG2144B</v>
          </cell>
          <cell r="J209" t="str">
            <v>07AQIPG2144B1ZF</v>
          </cell>
          <cell r="K209" t="str">
            <v>JANDIALA ROAD OPP.BED COLLEGE PHAGWARA KAPURTHALA 144401</v>
          </cell>
          <cell r="L209" t="str">
            <v>Punjab</v>
          </cell>
          <cell r="M209" t="str">
            <v>KHEWAT KHATONI NO. 81/99 KHASRA NO. 24//1/2/3(2-9)24//10/1/3(1-13) VILLAGE NIAMUMAJRA, TEHSIL BASSI, PATHANA, DISTRICT FATEHGARH SAHIB  140412</v>
          </cell>
          <cell r="N209" t="str">
            <v>Punjab</v>
          </cell>
          <cell r="O209" t="str">
            <v>Assets Shifting</v>
          </cell>
          <cell r="P209">
            <v>5500</v>
          </cell>
          <cell r="Q209">
            <v>0</v>
          </cell>
          <cell r="R209">
            <v>0</v>
          </cell>
          <cell r="S209">
            <v>0</v>
          </cell>
          <cell r="T209">
            <v>990</v>
          </cell>
          <cell r="U209">
            <v>0</v>
          </cell>
          <cell r="V209">
            <v>6490</v>
          </cell>
          <cell r="W209">
            <v>55</v>
          </cell>
          <cell r="X209">
            <v>0.01</v>
          </cell>
          <cell r="Y209">
            <v>6435</v>
          </cell>
          <cell r="AC209">
            <v>6435</v>
          </cell>
          <cell r="AJ209">
            <v>5500</v>
          </cell>
        </row>
        <row r="210">
          <cell r="B210">
            <v>1906</v>
          </cell>
          <cell r="C210" t="str">
            <v>Hitachi</v>
          </cell>
          <cell r="D210" t="str">
            <v>Assets Shifting</v>
          </cell>
          <cell r="E210" t="str">
            <v>MCRM7826</v>
          </cell>
          <cell r="F210">
            <v>45873</v>
          </cell>
          <cell r="G210" t="str">
            <v>SSS/2025-26/083</v>
          </cell>
          <cell r="H210" t="str">
            <v>Str8 &amp; Secure Services</v>
          </cell>
          <cell r="I210" t="str">
            <v>AQIPG2144B</v>
          </cell>
          <cell r="J210" t="str">
            <v>07AQIPG2144B1ZF</v>
          </cell>
          <cell r="K210" t="str">
            <v>Shop no. 1 OPP.ESTI DEPO RANI BANGLA COMPAOUND ,CHHOTAUDEPUR,GUJRAT,391165</v>
          </cell>
          <cell r="L210" t="str">
            <v>Gujarat</v>
          </cell>
          <cell r="M210" t="str">
            <v>Kishore Bagai Transport, l-2 Jai Mata Di Compound , 2nd left next to Hetvi Textile, Kalher Bhiwandi, Maharashtra - 421302</v>
          </cell>
          <cell r="N210" t="str">
            <v>Maharashtra</v>
          </cell>
          <cell r="O210" t="str">
            <v>Assets Shifting</v>
          </cell>
          <cell r="P210">
            <v>20500</v>
          </cell>
          <cell r="Q210">
            <v>0</v>
          </cell>
          <cell r="R210">
            <v>0</v>
          </cell>
          <cell r="S210">
            <v>0</v>
          </cell>
          <cell r="T210">
            <v>3690</v>
          </cell>
          <cell r="U210">
            <v>0</v>
          </cell>
          <cell r="V210">
            <v>24190</v>
          </cell>
          <cell r="W210">
            <v>205</v>
          </cell>
          <cell r="X210">
            <v>0.01</v>
          </cell>
          <cell r="Y210">
            <v>23985</v>
          </cell>
          <cell r="AC210">
            <v>23985</v>
          </cell>
          <cell r="AJ210">
            <v>20500</v>
          </cell>
        </row>
        <row r="211">
          <cell r="B211">
            <v>5011</v>
          </cell>
          <cell r="C211" t="str">
            <v>NCR-Ajay</v>
          </cell>
          <cell r="D211" t="str">
            <v>Assets Shifting</v>
          </cell>
          <cell r="E211" t="str">
            <v>DFBP000660091</v>
          </cell>
          <cell r="F211">
            <v>45873</v>
          </cell>
          <cell r="G211" t="str">
            <v>SSS/2025-26/079</v>
          </cell>
          <cell r="H211" t="str">
            <v>Str8 &amp; Secure Services</v>
          </cell>
          <cell r="I211" t="str">
            <v>AQIPG2144B</v>
          </cell>
          <cell r="J211" t="str">
            <v>07AQIPG2144B1ZF</v>
          </cell>
          <cell r="K211" t="str">
            <v>Haveli Restuarent &amp; Resort,GT Rd, Khajurla, Jalandhar -phagwara highway Kapurthala, Punjab 144402</v>
          </cell>
          <cell r="L211" t="str">
            <v>Punjab</v>
          </cell>
          <cell r="M211" t="str">
            <v>KHEWAT KHATONI NO. 81/99 KHASRA NO. 24//1/2/3(2-9)24//10/1/3(1-13) VILLAGE NIAMUMAJRA, TEHSIL BASSI, PATHANA, DISTRICT FATEHGARH SAHIB  140412</v>
          </cell>
          <cell r="N211" t="str">
            <v>Punjab</v>
          </cell>
          <cell r="O211" t="str">
            <v>Assets Shifting</v>
          </cell>
          <cell r="P211">
            <v>6000</v>
          </cell>
          <cell r="Q211">
            <v>0</v>
          </cell>
          <cell r="R211">
            <v>0</v>
          </cell>
          <cell r="S211">
            <v>0</v>
          </cell>
          <cell r="T211">
            <v>1080</v>
          </cell>
          <cell r="U211">
            <v>0</v>
          </cell>
          <cell r="V211">
            <v>7080</v>
          </cell>
          <cell r="W211">
            <v>60</v>
          </cell>
          <cell r="X211">
            <v>0.01</v>
          </cell>
          <cell r="Y211">
            <v>7020</v>
          </cell>
          <cell r="AC211">
            <v>7020</v>
          </cell>
          <cell r="AJ211">
            <v>6000</v>
          </cell>
        </row>
        <row r="212">
          <cell r="B212">
            <v>1938</v>
          </cell>
          <cell r="C212" t="str">
            <v>NCR-Hari</v>
          </cell>
          <cell r="D212" t="str">
            <v>Assets Shifting</v>
          </cell>
          <cell r="E212" t="str">
            <v>6NVADTAL01</v>
          </cell>
          <cell r="F212">
            <v>45873</v>
          </cell>
          <cell r="G212" t="str">
            <v>SSS/2025-26/077</v>
          </cell>
          <cell r="H212" t="str">
            <v>Str8 &amp; Secure Services</v>
          </cell>
          <cell r="I212" t="str">
            <v>AQIPG2144B</v>
          </cell>
          <cell r="J212" t="str">
            <v>07AQIPG2144B1ZF</v>
          </cell>
          <cell r="K212" t="str">
            <v>VADTAL  Plot no. 1158  Opp. Swaminarayan Hospital  Station Road  Vadtal  Tal. Nadiad  Kheda  Gujarat  387375</v>
          </cell>
          <cell r="L212" t="str">
            <v>Gujarat</v>
          </cell>
          <cell r="M212" t="str">
            <v>Station Road, Near Swaminaryan Hospital , Vadtal Nadiad Dist kheda , PIN :- 387375</v>
          </cell>
          <cell r="N212" t="str">
            <v>Gujarat</v>
          </cell>
          <cell r="O212" t="str">
            <v>Assets Shifting</v>
          </cell>
          <cell r="P212">
            <v>6000</v>
          </cell>
          <cell r="Q212">
            <v>0</v>
          </cell>
          <cell r="R212">
            <v>0</v>
          </cell>
          <cell r="S212">
            <v>0</v>
          </cell>
          <cell r="T212">
            <v>1080</v>
          </cell>
          <cell r="U212">
            <v>0</v>
          </cell>
          <cell r="V212">
            <v>7080</v>
          </cell>
          <cell r="W212">
            <v>60</v>
          </cell>
          <cell r="X212">
            <v>0.01</v>
          </cell>
          <cell r="Y212">
            <v>7020</v>
          </cell>
          <cell r="AC212">
            <v>7020</v>
          </cell>
          <cell r="AJ212">
            <v>6000</v>
          </cell>
        </row>
        <row r="213">
          <cell r="B213">
            <v>1945</v>
          </cell>
          <cell r="C213" t="str">
            <v>NCR-Hari</v>
          </cell>
          <cell r="D213" t="str">
            <v>Assets Shifting</v>
          </cell>
          <cell r="E213" t="str">
            <v>S1ANHR87 </v>
          </cell>
          <cell r="F213">
            <v>45873</v>
          </cell>
          <cell r="G213" t="str">
            <v>SSS/2025-26/077</v>
          </cell>
          <cell r="H213" t="str">
            <v>Str8 &amp; Secure Services</v>
          </cell>
          <cell r="I213" t="str">
            <v>AQIPG2144B</v>
          </cell>
          <cell r="J213" t="str">
            <v>07AQIPG2144B1ZF</v>
          </cell>
          <cell r="K213" t="str">
            <v>HDFC bank Ltd, offsite ATM, Near Bus Stand, Ambala Hisar Road, Ismailabad, Distt- Kurukshetra -136129</v>
          </cell>
          <cell r="L213" t="str">
            <v>Haryana</v>
          </cell>
          <cell r="M213" t="str">
            <v>Hdfc Bank Ltd., Vpo- Balana, Ambala Hissar Road, District- Ambala, Haryana -134003</v>
          </cell>
          <cell r="N213" t="str">
            <v>Haryana</v>
          </cell>
          <cell r="O213" t="str">
            <v>Assets Shifting</v>
          </cell>
          <cell r="P213">
            <v>6500</v>
          </cell>
          <cell r="Q213">
            <v>0</v>
          </cell>
          <cell r="R213">
            <v>0</v>
          </cell>
          <cell r="S213">
            <v>0</v>
          </cell>
          <cell r="T213">
            <v>1170</v>
          </cell>
          <cell r="U213">
            <v>0</v>
          </cell>
          <cell r="V213">
            <v>7670</v>
          </cell>
          <cell r="W213">
            <v>65</v>
          </cell>
          <cell r="X213">
            <v>0.01</v>
          </cell>
          <cell r="Y213">
            <v>7605</v>
          </cell>
          <cell r="AC213">
            <v>7605</v>
          </cell>
          <cell r="AJ213">
            <v>6500</v>
          </cell>
        </row>
        <row r="214">
          <cell r="B214">
            <v>5045</v>
          </cell>
          <cell r="C214" t="str">
            <v>NCR-Ajay</v>
          </cell>
          <cell r="D214" t="str">
            <v>Assets Shifting</v>
          </cell>
          <cell r="E214" t="str">
            <v>DFNP000732008</v>
          </cell>
          <cell r="F214">
            <v>45873</v>
          </cell>
          <cell r="G214" t="str">
            <v>SSS/2025-26/079</v>
          </cell>
          <cell r="H214" t="str">
            <v>Str8 &amp; Secure Services</v>
          </cell>
          <cell r="I214" t="str">
            <v>AQIPG2144B</v>
          </cell>
          <cell r="J214" t="str">
            <v>07AQIPG2144B1ZF</v>
          </cell>
          <cell r="K214" t="str">
            <v>Chowk Islamabad, Near Railway Crossing and Mandir, District Amritsar 143001</v>
          </cell>
          <cell r="L214" t="str">
            <v>Punjab</v>
          </cell>
          <cell r="M214" t="str">
            <v>KHEWAT KHATONI NO. 81/99 KHASRA NO. 24//1/2/3(2-9)24//10/1/3(1-13) VILLAGE NIAMUMAJRA, TEHSIL BASSI, PATHANA, DISTRICT FATEHGARH SAHIB  140412</v>
          </cell>
          <cell r="N214" t="str">
            <v>Punjab</v>
          </cell>
          <cell r="O214" t="str">
            <v>Assets Shifting</v>
          </cell>
          <cell r="P214">
            <v>8000</v>
          </cell>
          <cell r="Q214">
            <v>0</v>
          </cell>
          <cell r="R214">
            <v>0</v>
          </cell>
          <cell r="S214">
            <v>0</v>
          </cell>
          <cell r="T214">
            <v>1440</v>
          </cell>
          <cell r="U214">
            <v>0</v>
          </cell>
          <cell r="V214">
            <v>9440</v>
          </cell>
          <cell r="W214">
            <v>80</v>
          </cell>
          <cell r="X214">
            <v>0.01</v>
          </cell>
          <cell r="Y214">
            <v>9360</v>
          </cell>
          <cell r="AC214">
            <v>9360</v>
          </cell>
          <cell r="AJ214">
            <v>8000</v>
          </cell>
        </row>
        <row r="215">
          <cell r="B215">
            <v>1956</v>
          </cell>
          <cell r="C215" t="str">
            <v>Hitachi</v>
          </cell>
          <cell r="D215" t="str">
            <v>Assets Shifting</v>
          </cell>
          <cell r="E215" t="str">
            <v>MCRM1182</v>
          </cell>
          <cell r="F215">
            <v>45873</v>
          </cell>
          <cell r="G215" t="str">
            <v>SSS/2025-26/083</v>
          </cell>
          <cell r="H215" t="str">
            <v>Str8 &amp; Secure Services</v>
          </cell>
          <cell r="I215" t="str">
            <v>AQIPG2144B</v>
          </cell>
          <cell r="J215" t="str">
            <v>07AQIPG2144B1ZF</v>
          </cell>
          <cell r="K215" t="str">
            <v>Shop No -1, Raj Guest House, Sec.-6, Behind Sale Tax Office, Uit, Santhlka, Bhiwadi, Rajasthan, Pin-301019</v>
          </cell>
          <cell r="L215" t="str">
            <v>Rajasthan</v>
          </cell>
          <cell r="M215" t="str">
            <v>Plot no 123, Sector 56 Phase IV, Industrial estate, kundli sonipat, sonipat, Haryana, 131028</v>
          </cell>
          <cell r="N215" t="str">
            <v>Haryana</v>
          </cell>
          <cell r="O215" t="str">
            <v>Assets Shifting</v>
          </cell>
          <cell r="P215">
            <v>20000</v>
          </cell>
          <cell r="Q215">
            <v>0</v>
          </cell>
          <cell r="R215">
            <v>0</v>
          </cell>
          <cell r="S215">
            <v>0</v>
          </cell>
          <cell r="T215">
            <v>3600</v>
          </cell>
          <cell r="U215">
            <v>0</v>
          </cell>
          <cell r="V215">
            <v>23600</v>
          </cell>
          <cell r="W215">
            <v>200</v>
          </cell>
          <cell r="X215">
            <v>0.01</v>
          </cell>
          <cell r="Y215">
            <v>23400</v>
          </cell>
          <cell r="AC215">
            <v>23400</v>
          </cell>
          <cell r="AJ215">
            <v>20000</v>
          </cell>
        </row>
        <row r="216">
          <cell r="B216">
            <v>1958</v>
          </cell>
          <cell r="C216" t="str">
            <v>Hitachi</v>
          </cell>
          <cell r="D216" t="str">
            <v>Assets Shifting</v>
          </cell>
          <cell r="E216" t="str">
            <v>MPB00066</v>
          </cell>
          <cell r="F216">
            <v>45873</v>
          </cell>
          <cell r="G216" t="str">
            <v>SSS/2025-26/085</v>
          </cell>
          <cell r="H216" t="str">
            <v>Str8 &amp; Secure Services</v>
          </cell>
          <cell r="I216" t="str">
            <v>AQIPG2144B</v>
          </cell>
          <cell r="J216" t="str">
            <v>07AQIPG2144B1ZF</v>
          </cell>
          <cell r="K216" t="str">
            <v>Behind Maruti Mandir, Malegao Budruk Baramati , Pune Maharashtra, 413115</v>
          </cell>
          <cell r="L216" t="str">
            <v>Maharashtra</v>
          </cell>
          <cell r="M216" t="str">
            <v>Plot no 123, Sector 56 Phase IV, Industrial estate, kundli sonipat, sonipat, Haryana, 131028</v>
          </cell>
          <cell r="N216" t="str">
            <v>Haryana</v>
          </cell>
          <cell r="O216" t="str">
            <v>Assets Shifting</v>
          </cell>
          <cell r="P216">
            <v>21500</v>
          </cell>
          <cell r="Q216">
            <v>0</v>
          </cell>
          <cell r="R216">
            <v>0</v>
          </cell>
          <cell r="S216">
            <v>0</v>
          </cell>
          <cell r="T216">
            <v>3870</v>
          </cell>
          <cell r="U216">
            <v>0</v>
          </cell>
          <cell r="V216">
            <v>25370</v>
          </cell>
          <cell r="W216">
            <v>215</v>
          </cell>
          <cell r="X216">
            <v>0.01</v>
          </cell>
          <cell r="Y216">
            <v>25155</v>
          </cell>
          <cell r="AC216">
            <v>25155</v>
          </cell>
          <cell r="AJ216">
            <v>21500</v>
          </cell>
        </row>
        <row r="217">
          <cell r="B217">
            <v>1957</v>
          </cell>
          <cell r="C217" t="str">
            <v>NCR-Hari</v>
          </cell>
          <cell r="D217" t="str">
            <v>Assets Shifting</v>
          </cell>
          <cell r="E217" t="str">
            <v>CHUTP094</v>
          </cell>
          <cell r="F217">
            <v>45873</v>
          </cell>
          <cell r="G217" t="str">
            <v>SSS/2025-26/077</v>
          </cell>
          <cell r="H217" t="str">
            <v>Str8 &amp; Secure Services</v>
          </cell>
          <cell r="I217" t="str">
            <v>AQIPG2144B</v>
          </cell>
          <cell r="J217" t="str">
            <v>07AQIPG2144B1ZF</v>
          </cell>
          <cell r="K217" t="str">
            <v>Hdfc Bank Ltd., Ward No. 10, Bakheera Road, Sahjanwa, District - Gorakhpur, Uttar Pradesh - 273209</v>
          </cell>
          <cell r="L217" t="str">
            <v>Uttar Pradesh</v>
          </cell>
          <cell r="M217" t="str">
            <v>Upper Grd. Floor, Gata No.139min &amp; 144min, Situated at ward no. 8, Shukla Nagar, Sahjanwa Mauza Pipra,Tappa Gahasad, Pargana Hasanpur Magahar, Tehsil Sahjanwa, Dist. Gorakhpur, Uttar Pradesh - 273209</v>
          </cell>
          <cell r="N217" t="str">
            <v>Uttar Pradesh</v>
          </cell>
          <cell r="O217" t="str">
            <v>Assets Shifting</v>
          </cell>
          <cell r="P217">
            <v>6000</v>
          </cell>
          <cell r="Q217">
            <v>0</v>
          </cell>
          <cell r="R217">
            <v>0</v>
          </cell>
          <cell r="S217">
            <v>0</v>
          </cell>
          <cell r="T217">
            <v>1080</v>
          </cell>
          <cell r="U217">
            <v>0</v>
          </cell>
          <cell r="V217">
            <v>7080</v>
          </cell>
          <cell r="W217">
            <v>60</v>
          </cell>
          <cell r="X217">
            <v>0.01</v>
          </cell>
          <cell r="Y217">
            <v>7020</v>
          </cell>
          <cell r="AC217">
            <v>7020</v>
          </cell>
          <cell r="AJ217">
            <v>6000</v>
          </cell>
        </row>
        <row r="218">
          <cell r="B218">
            <v>1965</v>
          </cell>
          <cell r="C218" t="str">
            <v>Hitachi</v>
          </cell>
          <cell r="D218" t="str">
            <v>Assets Shifting</v>
          </cell>
          <cell r="E218" t="str">
            <v>MCRM8466</v>
          </cell>
          <cell r="F218">
            <v>45873</v>
          </cell>
          <cell r="G218" t="str">
            <v>SSS/2025-26/083</v>
          </cell>
          <cell r="H218" t="str">
            <v>Str8 &amp; Secure Services</v>
          </cell>
          <cell r="I218" t="str">
            <v>AQIPG2144B</v>
          </cell>
          <cell r="J218" t="str">
            <v>07AQIPG2144B1ZF</v>
          </cell>
          <cell r="K218" t="str">
            <v>Shop no 1, 333 gali no 7 Jyoti park gurugram 122001</v>
          </cell>
          <cell r="L218" t="str">
            <v>Haryana</v>
          </cell>
          <cell r="M218" t="str">
            <v>Plot no 123, Sector 56 Phase IV, Industrial estate, kundli sonipat, sonipat, Haryana, 131028</v>
          </cell>
          <cell r="N218" t="str">
            <v>Haryana</v>
          </cell>
          <cell r="O218" t="str">
            <v>Assets Shifting</v>
          </cell>
          <cell r="P218">
            <v>17500</v>
          </cell>
          <cell r="Q218">
            <v>0</v>
          </cell>
          <cell r="R218">
            <v>0</v>
          </cell>
          <cell r="S218">
            <v>0</v>
          </cell>
          <cell r="T218">
            <v>3150</v>
          </cell>
          <cell r="U218">
            <v>0</v>
          </cell>
          <cell r="V218">
            <v>20650</v>
          </cell>
          <cell r="W218">
            <v>175</v>
          </cell>
          <cell r="X218">
            <v>0.01</v>
          </cell>
          <cell r="Y218">
            <v>20475</v>
          </cell>
          <cell r="AC218">
            <v>20475</v>
          </cell>
          <cell r="AJ218">
            <v>17500</v>
          </cell>
        </row>
        <row r="219">
          <cell r="B219">
            <v>1968</v>
          </cell>
          <cell r="C219" t="str">
            <v>NCR-Hari</v>
          </cell>
          <cell r="D219" t="str">
            <v>Assets Shifting</v>
          </cell>
          <cell r="E219" t="str">
            <v>6BINDVAP02</v>
          </cell>
          <cell r="F219">
            <v>45873</v>
          </cell>
          <cell r="G219" t="str">
            <v>SSS/2025-26/078</v>
          </cell>
          <cell r="H219" t="str">
            <v>Str8 &amp; Secure Services</v>
          </cell>
          <cell r="I219" t="str">
            <v>AQIPG2144B</v>
          </cell>
          <cell r="J219" t="str">
            <v>07AQIPG2144B1ZF</v>
          </cell>
          <cell r="K219" t="str">
            <v>INDVAP  C/M-14:- GIDC INDUSTRIAL ESTATE  NEAR CHAR RASTA  VALSAD  GUJRAT  PIN-396195</v>
          </cell>
          <cell r="L219" t="str">
            <v>Gujarat</v>
          </cell>
          <cell r="M219" t="str">
            <v>INDVAP  C/M-14:- GIDC INDUSTRIAL ESTATE  NEAR CHAR RASTA  VALSAD  GUJRAT  PIN-396195</v>
          </cell>
          <cell r="N219" t="str">
            <v>Gujarat</v>
          </cell>
          <cell r="O219" t="str">
            <v>Assets Shifting</v>
          </cell>
          <cell r="P219">
            <v>1000</v>
          </cell>
          <cell r="Q219">
            <v>0</v>
          </cell>
          <cell r="R219">
            <v>0</v>
          </cell>
          <cell r="S219">
            <v>0</v>
          </cell>
          <cell r="T219">
            <v>180</v>
          </cell>
          <cell r="U219">
            <v>0</v>
          </cell>
          <cell r="V219">
            <v>1180</v>
          </cell>
          <cell r="W219">
            <v>10</v>
          </cell>
          <cell r="X219">
            <v>0.01</v>
          </cell>
          <cell r="Y219">
            <v>1170</v>
          </cell>
          <cell r="AC219">
            <v>1170</v>
          </cell>
          <cell r="AJ219">
            <v>1000</v>
          </cell>
        </row>
        <row r="220">
          <cell r="B220">
            <v>1969</v>
          </cell>
          <cell r="C220" t="str">
            <v>NCR-Hari</v>
          </cell>
          <cell r="D220" t="str">
            <v>Assets Shifting</v>
          </cell>
          <cell r="E220" t="str">
            <v>6BINDVAP01</v>
          </cell>
          <cell r="F220">
            <v>45873</v>
          </cell>
          <cell r="G220" t="str">
            <v>SSS/2025-26/078</v>
          </cell>
          <cell r="H220" t="str">
            <v>Str8 &amp; Secure Services</v>
          </cell>
          <cell r="I220" t="str">
            <v>AQIPG2144B</v>
          </cell>
          <cell r="J220" t="str">
            <v>07AQIPG2144B1ZF</v>
          </cell>
          <cell r="K220" t="str">
            <v>INDVAP  C/M-14:- GIDC INDUSTRIAL ESTATE  NEAR CHAR RASTA  VALSAD  GUJRAT  PIN-396195</v>
          </cell>
          <cell r="L220" t="str">
            <v>Gujarat</v>
          </cell>
          <cell r="M220" t="str">
            <v>INDVAP  C/M-14:- GIDC INDUSTRIAL ESTATE  NEAR CHAR RASTA  VALSAD  GUJRAT  PIN-396195</v>
          </cell>
          <cell r="N220" t="str">
            <v>Gujarat</v>
          </cell>
          <cell r="O220" t="str">
            <v>Assets Shifting</v>
          </cell>
          <cell r="P220">
            <v>1000</v>
          </cell>
          <cell r="Q220">
            <v>0</v>
          </cell>
          <cell r="R220">
            <v>0</v>
          </cell>
          <cell r="S220">
            <v>0</v>
          </cell>
          <cell r="T220">
            <v>180</v>
          </cell>
          <cell r="U220">
            <v>0</v>
          </cell>
          <cell r="V220">
            <v>1180</v>
          </cell>
          <cell r="W220">
            <v>10</v>
          </cell>
          <cell r="X220">
            <v>0.01</v>
          </cell>
          <cell r="Y220">
            <v>1170</v>
          </cell>
          <cell r="AC220">
            <v>1170</v>
          </cell>
          <cell r="AJ220">
            <v>1000</v>
          </cell>
        </row>
        <row r="221">
          <cell r="B221">
            <v>1962</v>
          </cell>
          <cell r="C221" t="str">
            <v>NCR-Hari</v>
          </cell>
          <cell r="D221" t="str">
            <v>Assets Shifting</v>
          </cell>
          <cell r="E221" t="str">
            <v>BN177801</v>
          </cell>
          <cell r="F221">
            <v>45873</v>
          </cell>
          <cell r="G221" t="str">
            <v>SSS/2025-26/077</v>
          </cell>
          <cell r="H221" t="str">
            <v>Str8 &amp; Secure Services</v>
          </cell>
          <cell r="I221" t="str">
            <v>AQIPG2144B</v>
          </cell>
          <cell r="J221" t="str">
            <v>07AQIPG2144B1ZF</v>
          </cell>
          <cell r="K221" t="str">
            <v>Bandhan Bank Ltd, Ground, Pawa Presidential Business Park, Tower no.6, LSC, C-9, Vasant Kunj, South-West Delhi , New Delhi, PIN-110070</v>
          </cell>
          <cell r="L221" t="str">
            <v>Delhi</v>
          </cell>
          <cell r="M221" t="str">
            <v> Bandhan Bank Ltd, J2/4 Rajouri Garden , PS - Rajouri Garden , Dist - West Delhi , State - New Delhi , Pin - 110027</v>
          </cell>
          <cell r="N221" t="str">
            <v>Delhi</v>
          </cell>
          <cell r="O221" t="str">
            <v>Assets Shifting</v>
          </cell>
          <cell r="P221">
            <v>4500</v>
          </cell>
          <cell r="Q221">
            <v>0</v>
          </cell>
          <cell r="R221">
            <v>0</v>
          </cell>
          <cell r="S221">
            <v>0</v>
          </cell>
          <cell r="T221">
            <v>810</v>
          </cell>
          <cell r="U221">
            <v>0</v>
          </cell>
          <cell r="V221">
            <v>5310</v>
          </cell>
          <cell r="W221">
            <v>45</v>
          </cell>
          <cell r="X221">
            <v>0.01</v>
          </cell>
          <cell r="Y221">
            <v>5265</v>
          </cell>
          <cell r="AC221">
            <v>5265</v>
          </cell>
          <cell r="AJ221">
            <v>4500</v>
          </cell>
        </row>
        <row r="222">
          <cell r="B222">
            <v>5032</v>
          </cell>
          <cell r="C222" t="str">
            <v>NCR-Ajay</v>
          </cell>
          <cell r="D222" t="str">
            <v>Assets Shifting</v>
          </cell>
          <cell r="E222" t="str">
            <v>DFNP001259010</v>
          </cell>
          <cell r="F222">
            <v>45873</v>
          </cell>
          <cell r="G222" t="str">
            <v>SSS/2025-26/079</v>
          </cell>
          <cell r="H222" t="str">
            <v>Str8 &amp; Secure Services</v>
          </cell>
          <cell r="I222" t="str">
            <v>AQIPG2144B</v>
          </cell>
          <cell r="J222" t="str">
            <v>07AQIPG2144B1ZF</v>
          </cell>
          <cell r="K222" t="str">
            <v>Ludhiana WH</v>
          </cell>
          <cell r="L222" t="str">
            <v>Punjab</v>
          </cell>
          <cell r="M222" t="str">
            <v>GATE NO 3 BSF CAMP KHASSA, ATTARI ROAD, AMRITSAR.143001</v>
          </cell>
          <cell r="N222" t="str">
            <v>Punjab</v>
          </cell>
          <cell r="O222" t="str">
            <v>Assets Shifting</v>
          </cell>
          <cell r="P222">
            <v>4000</v>
          </cell>
          <cell r="Q222">
            <v>0</v>
          </cell>
          <cell r="R222">
            <v>0</v>
          </cell>
          <cell r="S222">
            <v>0</v>
          </cell>
          <cell r="T222">
            <v>720</v>
          </cell>
          <cell r="U222">
            <v>0</v>
          </cell>
          <cell r="V222">
            <v>4720</v>
          </cell>
          <cell r="W222">
            <v>40</v>
          </cell>
          <cell r="X222">
            <v>0.01</v>
          </cell>
          <cell r="Y222">
            <v>4680</v>
          </cell>
          <cell r="AC222">
            <v>4680</v>
          </cell>
          <cell r="AJ222">
            <v>4000</v>
          </cell>
        </row>
        <row r="223">
          <cell r="B223">
            <v>1963</v>
          </cell>
          <cell r="C223" t="str">
            <v>NCR-Hari</v>
          </cell>
          <cell r="D223" t="str">
            <v>Assets Shifting</v>
          </cell>
          <cell r="E223" t="str">
            <v>6FDBRODA01</v>
          </cell>
          <cell r="F223">
            <v>45873</v>
          </cell>
          <cell r="G223" t="str">
            <v>SSS/2025-26/078</v>
          </cell>
          <cell r="H223" t="str">
            <v>Str8 &amp; Secure Services</v>
          </cell>
          <cell r="I223" t="str">
            <v>AQIPG2144B</v>
          </cell>
          <cell r="J223" t="str">
            <v>07AQIPG2144B1ZF</v>
          </cell>
          <cell r="K223" t="str">
            <v>Nr.Ranjit Complex,Opp Bhagat Petrol Pump,Mahavir Saw Mill Compound,Naroda Road A'bad 382346.</v>
          </cell>
          <cell r="L223" t="str">
            <v>Gujarat</v>
          </cell>
          <cell r="M223" t="str">
            <v>Ground Floor , Karia Corporate tower , opp to gate 6 Karia Lake , Galaxy Cinema Road Naroda Ahmedabad – 382330</v>
          </cell>
          <cell r="N223" t="str">
            <v>Gujarat</v>
          </cell>
          <cell r="O223" t="str">
            <v>Assets Shifting</v>
          </cell>
          <cell r="P223">
            <v>2000</v>
          </cell>
          <cell r="Q223">
            <v>0</v>
          </cell>
          <cell r="R223">
            <v>0</v>
          </cell>
          <cell r="S223">
            <v>0</v>
          </cell>
          <cell r="T223">
            <v>360</v>
          </cell>
          <cell r="U223">
            <v>0</v>
          </cell>
          <cell r="V223">
            <v>2360</v>
          </cell>
          <cell r="W223">
            <v>20</v>
          </cell>
          <cell r="X223">
            <v>0.01</v>
          </cell>
          <cell r="Y223">
            <v>2340</v>
          </cell>
          <cell r="AC223">
            <v>2340</v>
          </cell>
          <cell r="AJ223">
            <v>2000</v>
          </cell>
        </row>
        <row r="224">
          <cell r="B224">
            <v>1963</v>
          </cell>
          <cell r="C224" t="str">
            <v>NCR-Hari</v>
          </cell>
          <cell r="D224" t="str">
            <v>Assets Shifting</v>
          </cell>
          <cell r="E224" t="str">
            <v>6FDBRODA01</v>
          </cell>
          <cell r="F224">
            <v>45873</v>
          </cell>
          <cell r="G224" t="str">
            <v>SSS/2025-26/077</v>
          </cell>
          <cell r="H224" t="str">
            <v>Str8 &amp; Secure Services</v>
          </cell>
          <cell r="I224" t="str">
            <v>AQIPG2144B</v>
          </cell>
          <cell r="J224" t="str">
            <v>07AQIPG2144B1ZF</v>
          </cell>
          <cell r="K224" t="str">
            <v>Nr.Ranjit Complex,Opp Bhagat Petrol Pump,Mahavir Saw Mill Compound,Naroda Road A'bad 382346.</v>
          </cell>
          <cell r="L224" t="str">
            <v>Gujarat</v>
          </cell>
          <cell r="M224" t="str">
            <v>Ground Floor , Karia Corporate tower , opp to gate 6 Karia Lake , Galaxy Cinema Road Naroda Ahmedabad – 382330</v>
          </cell>
          <cell r="N224" t="str">
            <v>Gujarat</v>
          </cell>
          <cell r="O224" t="str">
            <v>Assets Shifting</v>
          </cell>
          <cell r="P224">
            <v>4500</v>
          </cell>
          <cell r="Q224">
            <v>0</v>
          </cell>
          <cell r="R224">
            <v>0</v>
          </cell>
          <cell r="S224">
            <v>0</v>
          </cell>
          <cell r="T224">
            <v>810</v>
          </cell>
          <cell r="U224">
            <v>0</v>
          </cell>
          <cell r="V224">
            <v>5310</v>
          </cell>
          <cell r="W224">
            <v>45</v>
          </cell>
          <cell r="X224">
            <v>0.01</v>
          </cell>
          <cell r="Y224">
            <v>5265</v>
          </cell>
          <cell r="AC224">
            <v>5265</v>
          </cell>
          <cell r="AJ224">
            <v>4500</v>
          </cell>
        </row>
        <row r="225">
          <cell r="B225">
            <v>1978</v>
          </cell>
          <cell r="C225" t="str">
            <v>NCR-Hari</v>
          </cell>
          <cell r="D225" t="str">
            <v>Assets Shifting</v>
          </cell>
          <cell r="E225" t="str">
            <v>6NVARSIN01</v>
          </cell>
          <cell r="F225">
            <v>45873</v>
          </cell>
          <cell r="G225" t="str">
            <v>SSS/2025-26/077</v>
          </cell>
          <cell r="H225" t="str">
            <v>Str8 &amp; Secure Services</v>
          </cell>
          <cell r="I225" t="str">
            <v>AQIPG2144B</v>
          </cell>
          <cell r="J225" t="str">
            <v>07AQIPG2144B1ZF</v>
          </cell>
          <cell r="K225" t="str">
            <v>BANK OF BARODA VARSINGPUR BRANCH, BUILDING: C/O BAMBHANIA JINABHAI , ROAD: VARSINGPUR, TEHSIL: UNA, GUJARAT , PIN: 362560</v>
          </cell>
          <cell r="L225" t="str">
            <v>Gujarat</v>
          </cell>
          <cell r="M225" t="str">
            <v>Bank of Baroda Kodinar ,Gold Moon Empire,Nr Sugar Factory,Kodinar Dist- Gir Somanth, Pin code- 362720</v>
          </cell>
          <cell r="N225" t="str">
            <v>Gujarat</v>
          </cell>
          <cell r="O225" t="str">
            <v>Assets Shifting</v>
          </cell>
          <cell r="P225">
            <v>6000</v>
          </cell>
          <cell r="Q225">
            <v>0</v>
          </cell>
          <cell r="R225">
            <v>0</v>
          </cell>
          <cell r="S225">
            <v>0</v>
          </cell>
          <cell r="T225">
            <v>1080</v>
          </cell>
          <cell r="U225">
            <v>0</v>
          </cell>
          <cell r="V225">
            <v>7080</v>
          </cell>
          <cell r="W225">
            <v>60</v>
          </cell>
          <cell r="X225">
            <v>0.01</v>
          </cell>
          <cell r="Y225">
            <v>7020</v>
          </cell>
          <cell r="AC225">
            <v>7020</v>
          </cell>
          <cell r="AJ225">
            <v>6000</v>
          </cell>
        </row>
        <row r="226">
          <cell r="B226">
            <v>1979</v>
          </cell>
          <cell r="C226" t="str">
            <v>NCR-Umesh</v>
          </cell>
          <cell r="D226" t="str">
            <v>Assets Shifting</v>
          </cell>
          <cell r="E226" t="str">
            <v>MPZ11725</v>
          </cell>
          <cell r="F226">
            <v>45873</v>
          </cell>
          <cell r="G226" t="str">
            <v>SSS/2025-26/080</v>
          </cell>
          <cell r="H226" t="str">
            <v>Str8 &amp; Secure Services</v>
          </cell>
          <cell r="I226" t="str">
            <v>AQIPG2144B</v>
          </cell>
          <cell r="J226" t="str">
            <v>07AQIPG2144B1ZF</v>
          </cell>
          <cell r="K226" t="str">
            <v>H.No. DD-24/1, Opposite Amar Market, Ward No. 4, Main Market, Pataudi Gurgaon Haryana 122503</v>
          </cell>
          <cell r="L226" t="str">
            <v>Haryana</v>
          </cell>
          <cell r="M226" t="str">
            <v>Plot no 123, Sector 56 Phase IV, Industrial estate, kundli sonipat, sonipat, Haryana, 131028</v>
          </cell>
          <cell r="N226" t="str">
            <v>Haryana</v>
          </cell>
          <cell r="O226" t="str">
            <v>Assets Shifting</v>
          </cell>
          <cell r="P226">
            <v>15500</v>
          </cell>
          <cell r="Q226">
            <v>0</v>
          </cell>
          <cell r="R226">
            <v>0</v>
          </cell>
          <cell r="S226">
            <v>0</v>
          </cell>
          <cell r="T226">
            <v>2790</v>
          </cell>
          <cell r="U226">
            <v>0</v>
          </cell>
          <cell r="V226">
            <v>18290</v>
          </cell>
          <cell r="W226">
            <v>155</v>
          </cell>
          <cell r="X226">
            <v>0.01</v>
          </cell>
          <cell r="Y226">
            <v>18135</v>
          </cell>
          <cell r="AC226">
            <v>18135</v>
          </cell>
          <cell r="AJ226">
            <v>15500</v>
          </cell>
        </row>
        <row r="227">
          <cell r="B227">
            <v>1982</v>
          </cell>
          <cell r="C227" t="str">
            <v>NCR-Hari</v>
          </cell>
          <cell r="D227" t="str">
            <v>Assets Shifting</v>
          </cell>
          <cell r="E227" t="str">
            <v>6BBOKARO01</v>
          </cell>
          <cell r="F227">
            <v>45873</v>
          </cell>
          <cell r="G227" t="str">
            <v>SSS/2025-26/078</v>
          </cell>
          <cell r="H227" t="str">
            <v>Str8 &amp; Secure Services</v>
          </cell>
          <cell r="I227" t="str">
            <v>AQIPG2144B</v>
          </cell>
          <cell r="J227" t="str">
            <v>07AQIPG2144B1ZF</v>
          </cell>
          <cell r="K227" t="str">
            <v>BOKARO  BOB  C-4  CITY CENTRE  SECTOR 4  BOKARO STEEL CITY  JHARKHAND  PIN-827004 (2ND ONSITE).</v>
          </cell>
          <cell r="L227" t="str">
            <v>Jharkhand</v>
          </cell>
          <cell r="M227" t="str">
            <v>BOKARO  BOB  C-4  CITY CENTRE  SECTOR 4  BOKARO STEEL CITY  JHARKHAND  PIN-827004 (2ND ONSITE).</v>
          </cell>
          <cell r="N227" t="str">
            <v>Jharkhand</v>
          </cell>
          <cell r="O227" t="str">
            <v>Assets Shifting</v>
          </cell>
          <cell r="P227">
            <v>1000</v>
          </cell>
          <cell r="Q227">
            <v>0</v>
          </cell>
          <cell r="R227">
            <v>0</v>
          </cell>
          <cell r="S227">
            <v>0</v>
          </cell>
          <cell r="T227">
            <v>180</v>
          </cell>
          <cell r="U227">
            <v>0</v>
          </cell>
          <cell r="V227">
            <v>1180</v>
          </cell>
          <cell r="W227">
            <v>10</v>
          </cell>
          <cell r="X227">
            <v>0.01</v>
          </cell>
          <cell r="Y227">
            <v>1170</v>
          </cell>
          <cell r="AC227">
            <v>1170</v>
          </cell>
          <cell r="AJ227">
            <v>1000</v>
          </cell>
        </row>
        <row r="228">
          <cell r="B228">
            <v>1983</v>
          </cell>
          <cell r="C228" t="str">
            <v>NCR-Hari</v>
          </cell>
          <cell r="D228" t="str">
            <v>Assets Shifting</v>
          </cell>
          <cell r="E228" t="str">
            <v>6BBOKARO02</v>
          </cell>
          <cell r="F228">
            <v>45873</v>
          </cell>
          <cell r="G228" t="str">
            <v>SSS/2025-26/078</v>
          </cell>
          <cell r="H228" t="str">
            <v>Str8 &amp; Secure Services</v>
          </cell>
          <cell r="I228" t="str">
            <v>AQIPG2144B</v>
          </cell>
          <cell r="J228" t="str">
            <v>07AQIPG2144B1ZF</v>
          </cell>
          <cell r="K228" t="str">
            <v>BOKARO  BOB  C-4  CITY CENTRE  SECTOR 4  BOKARO STEEL CITY  JHARKHAND  PIN-827004 (2ND ONSITE).</v>
          </cell>
          <cell r="L228" t="str">
            <v>Jharkhand</v>
          </cell>
          <cell r="M228" t="str">
            <v>BOKARO  BOB  C-4  CITY CENTRE  SECTOR 4  BOKARO STEEL CITY  JHARKHAND  PIN-827004 (2ND ONSITE).</v>
          </cell>
          <cell r="N228" t="str">
            <v>Jharkhand</v>
          </cell>
          <cell r="O228" t="str">
            <v>Assets Shifting</v>
          </cell>
          <cell r="P228">
            <v>1000</v>
          </cell>
          <cell r="Q228">
            <v>0</v>
          </cell>
          <cell r="R228">
            <v>0</v>
          </cell>
          <cell r="S228">
            <v>0</v>
          </cell>
          <cell r="T228">
            <v>180</v>
          </cell>
          <cell r="U228">
            <v>0</v>
          </cell>
          <cell r="V228">
            <v>1180</v>
          </cell>
          <cell r="W228">
            <v>10</v>
          </cell>
          <cell r="X228">
            <v>0.01</v>
          </cell>
          <cell r="Y228">
            <v>1170</v>
          </cell>
          <cell r="AC228">
            <v>1170</v>
          </cell>
          <cell r="AJ228">
            <v>1000</v>
          </cell>
        </row>
        <row r="229">
          <cell r="B229">
            <v>1982</v>
          </cell>
          <cell r="C229" t="str">
            <v>NCR-Hari</v>
          </cell>
          <cell r="D229" t="str">
            <v>Assets Shifting</v>
          </cell>
          <cell r="E229" t="str">
            <v>6BBOKARO01</v>
          </cell>
          <cell r="F229">
            <v>45873</v>
          </cell>
          <cell r="G229" t="str">
            <v>SSS/2025-26/077</v>
          </cell>
          <cell r="H229" t="str">
            <v>Str8 &amp; Secure Services</v>
          </cell>
          <cell r="I229" t="str">
            <v>AQIPG2144B</v>
          </cell>
          <cell r="J229" t="str">
            <v>07AQIPG2144B1ZF</v>
          </cell>
          <cell r="K229" t="str">
            <v>BOKARO  BOB  C-4  CITY CENTRE  SECTOR 4  BOKARO STEEL CITY  JHARKHAND  PIN-827004 (2ND ONSITE).</v>
          </cell>
          <cell r="L229" t="str">
            <v>Jharkhand</v>
          </cell>
          <cell r="M229" t="str">
            <v>BOKARO  BOB  C-4  CITY CENTRE  SECTOR 4  BOKARO STEEL CITY  JHARKHAND  PIN-827004 (2ND ONSITE).</v>
          </cell>
          <cell r="N229" t="str">
            <v>Jharkhand</v>
          </cell>
          <cell r="O229" t="str">
            <v>Assets Shifting</v>
          </cell>
          <cell r="P229">
            <v>3500</v>
          </cell>
          <cell r="Q229">
            <v>0</v>
          </cell>
          <cell r="R229">
            <v>0</v>
          </cell>
          <cell r="S229">
            <v>0</v>
          </cell>
          <cell r="T229">
            <v>630</v>
          </cell>
          <cell r="U229">
            <v>0</v>
          </cell>
          <cell r="V229">
            <v>4130</v>
          </cell>
          <cell r="W229">
            <v>35</v>
          </cell>
          <cell r="X229">
            <v>0.01</v>
          </cell>
          <cell r="Y229">
            <v>4095</v>
          </cell>
          <cell r="AC229">
            <v>4095</v>
          </cell>
          <cell r="AJ229">
            <v>3500</v>
          </cell>
        </row>
        <row r="230">
          <cell r="B230">
            <v>1983</v>
          </cell>
          <cell r="C230" t="str">
            <v>NCR-Hari</v>
          </cell>
          <cell r="D230" t="str">
            <v>Assets Shifting</v>
          </cell>
          <cell r="E230" t="str">
            <v>6BBOKARO02</v>
          </cell>
          <cell r="F230">
            <v>45873</v>
          </cell>
          <cell r="G230" t="str">
            <v>SSS/2025-26/077</v>
          </cell>
          <cell r="H230" t="str">
            <v>Str8 &amp; Secure Services</v>
          </cell>
          <cell r="I230" t="str">
            <v>AQIPG2144B</v>
          </cell>
          <cell r="J230" t="str">
            <v>07AQIPG2144B1ZF</v>
          </cell>
          <cell r="K230" t="str">
            <v>BOKARO  BOB  C-4  CITY CENTRE  SECTOR 4  BOKARO STEEL CITY  JHARKHAND  PIN-827004 (2ND ONSITE).</v>
          </cell>
          <cell r="L230" t="str">
            <v>Jharkhand</v>
          </cell>
          <cell r="M230" t="str">
            <v>BOKARO  BOB  C-4  CITY CENTRE  SECTOR 4  BOKARO STEEL CITY  JHARKHAND  PIN-827004 (2ND ONSITE).</v>
          </cell>
          <cell r="N230" t="str">
            <v>Jharkhand</v>
          </cell>
          <cell r="O230" t="str">
            <v>Assets Shifting</v>
          </cell>
          <cell r="P230">
            <v>3500</v>
          </cell>
          <cell r="Q230">
            <v>0</v>
          </cell>
          <cell r="R230">
            <v>0</v>
          </cell>
          <cell r="S230">
            <v>0</v>
          </cell>
          <cell r="T230">
            <v>630</v>
          </cell>
          <cell r="U230">
            <v>0</v>
          </cell>
          <cell r="V230">
            <v>4130</v>
          </cell>
          <cell r="W230">
            <v>35</v>
          </cell>
          <cell r="X230">
            <v>0.01</v>
          </cell>
          <cell r="Y230">
            <v>4095</v>
          </cell>
          <cell r="AC230">
            <v>4095</v>
          </cell>
          <cell r="AJ230">
            <v>3500</v>
          </cell>
        </row>
        <row r="231">
          <cell r="B231">
            <v>1985</v>
          </cell>
          <cell r="C231" t="str">
            <v>NCR-Umesh</v>
          </cell>
          <cell r="D231" t="str">
            <v>Assets Shifting</v>
          </cell>
          <cell r="E231" t="str">
            <v>MPZ09679</v>
          </cell>
          <cell r="F231">
            <v>45873</v>
          </cell>
          <cell r="G231" t="str">
            <v>SSS/2025-26/081</v>
          </cell>
          <cell r="H231" t="str">
            <v>Str8 &amp; Secure Services</v>
          </cell>
          <cell r="I231" t="str">
            <v>AQIPG2144B</v>
          </cell>
          <cell r="J231" t="str">
            <v>07AQIPG2144B1ZF</v>
          </cell>
          <cell r="K231" t="str">
            <v>Shop No 2 S/O Ram Kishan , Yakubpur Jhajjar Haryana Pin Code 124103</v>
          </cell>
          <cell r="L231" t="str">
            <v>Haryana</v>
          </cell>
          <cell r="M231" t="str">
            <v>Plot no 123, Sector 56 Phase IV, Industrial estate, kundli sonipat, sonipat, Haryana, 131028</v>
          </cell>
          <cell r="N231" t="str">
            <v>Haryana</v>
          </cell>
          <cell r="O231" t="str">
            <v>Assets Shifting</v>
          </cell>
          <cell r="P231">
            <v>15500</v>
          </cell>
          <cell r="Q231">
            <v>0</v>
          </cell>
          <cell r="R231">
            <v>0</v>
          </cell>
          <cell r="S231">
            <v>0</v>
          </cell>
          <cell r="T231">
            <v>2790</v>
          </cell>
          <cell r="U231">
            <v>0</v>
          </cell>
          <cell r="V231">
            <v>18290</v>
          </cell>
          <cell r="W231">
            <v>155</v>
          </cell>
          <cell r="X231">
            <v>0.01</v>
          </cell>
          <cell r="Y231">
            <v>18135</v>
          </cell>
          <cell r="AC231">
            <v>18135</v>
          </cell>
          <cell r="AJ231">
            <v>15500</v>
          </cell>
        </row>
        <row r="232">
          <cell r="B232">
            <v>2003</v>
          </cell>
          <cell r="C232" t="str">
            <v>Hitachi</v>
          </cell>
          <cell r="D232" t="str">
            <v>Assets Shifting</v>
          </cell>
          <cell r="E232" t="str">
            <v>MPB01071</v>
          </cell>
          <cell r="F232">
            <v>45873</v>
          </cell>
          <cell r="G232" t="str">
            <v>SSS/2025-26/085</v>
          </cell>
          <cell r="H232" t="str">
            <v>Str8 &amp; Secure Services</v>
          </cell>
          <cell r="I232" t="str">
            <v>AQIPG2144B</v>
          </cell>
          <cell r="J232" t="str">
            <v>07AQIPG2144B1ZF</v>
          </cell>
          <cell r="K232" t="str">
            <v>Shop No. 03 , Sayaji Villa, Behind Asian Collage , Near Anand Dhaba , Narhe , Tal – Haveli , Dist Pune - 411041</v>
          </cell>
          <cell r="L232" t="str">
            <v>Maharashtra</v>
          </cell>
          <cell r="M232" t="str">
            <v>Plot no 123, Sector 56 Phase IV, Industrial estate, kundli sonipat, sonipat, Haryana, 131028</v>
          </cell>
          <cell r="N232" t="str">
            <v>Haryana</v>
          </cell>
          <cell r="O232" t="str">
            <v>Assets Shifting</v>
          </cell>
          <cell r="P232">
            <v>21000</v>
          </cell>
          <cell r="Q232">
            <v>0</v>
          </cell>
          <cell r="R232">
            <v>0</v>
          </cell>
          <cell r="S232">
            <v>0</v>
          </cell>
          <cell r="T232">
            <v>3780</v>
          </cell>
          <cell r="U232">
            <v>0</v>
          </cell>
          <cell r="V232">
            <v>24780</v>
          </cell>
          <cell r="W232">
            <v>210</v>
          </cell>
          <cell r="X232">
            <v>0.01</v>
          </cell>
          <cell r="Y232">
            <v>24570</v>
          </cell>
          <cell r="AC232">
            <v>24570</v>
          </cell>
          <cell r="AJ232">
            <v>21000</v>
          </cell>
        </row>
        <row r="233">
          <cell r="B233">
            <v>2009</v>
          </cell>
          <cell r="C233" t="str">
            <v>Hitachi</v>
          </cell>
          <cell r="D233" t="str">
            <v>Assets Shifting</v>
          </cell>
          <cell r="E233" t="str">
            <v>MCRM8665</v>
          </cell>
          <cell r="F233">
            <v>45873</v>
          </cell>
          <cell r="G233" t="str">
            <v>SSS/2025-26/088</v>
          </cell>
          <cell r="H233" t="str">
            <v>Str8 &amp; Secure Services</v>
          </cell>
          <cell r="I233" t="str">
            <v>AQIPG2144B</v>
          </cell>
          <cell r="J233" t="str">
            <v>07AQIPG2144B1ZF</v>
          </cell>
          <cell r="K233" t="str">
            <v>499/16, Model Town, Pehowa.</v>
          </cell>
          <cell r="L233" t="str">
            <v>Haryana</v>
          </cell>
          <cell r="M233" t="str">
            <v>Plot no 123, Sector 56 Phase IV, Industrial estate, kundli sonipat, sonipat, Haryana, 131028</v>
          </cell>
          <cell r="N233" t="str">
            <v>Haryana</v>
          </cell>
          <cell r="O233" t="str">
            <v>Assets Shifting</v>
          </cell>
          <cell r="P233">
            <v>17500</v>
          </cell>
          <cell r="Q233">
            <v>0</v>
          </cell>
          <cell r="R233">
            <v>0</v>
          </cell>
          <cell r="S233">
            <v>0</v>
          </cell>
          <cell r="T233">
            <v>3150</v>
          </cell>
          <cell r="U233">
            <v>0</v>
          </cell>
          <cell r="V233">
            <v>20650</v>
          </cell>
          <cell r="W233">
            <v>175</v>
          </cell>
          <cell r="X233">
            <v>0.01</v>
          </cell>
          <cell r="Y233">
            <v>20475</v>
          </cell>
          <cell r="AC233">
            <v>20475</v>
          </cell>
          <cell r="AJ233">
            <v>17500</v>
          </cell>
        </row>
        <row r="234">
          <cell r="B234">
            <v>2010</v>
          </cell>
          <cell r="C234" t="str">
            <v>NCR-Umesh</v>
          </cell>
          <cell r="D234" t="str">
            <v>Assets Shifting</v>
          </cell>
          <cell r="E234" t="str">
            <v>MPZ09630</v>
          </cell>
          <cell r="F234">
            <v>45873</v>
          </cell>
          <cell r="G234" t="str">
            <v>SSS/2025-26/082</v>
          </cell>
          <cell r="H234" t="str">
            <v>Str8 &amp; Secure Services</v>
          </cell>
          <cell r="I234" t="str">
            <v>AQIPG2144B</v>
          </cell>
          <cell r="J234" t="str">
            <v>07AQIPG2144B1ZF</v>
          </cell>
          <cell r="K234" t="str">
            <v>Alwar Bhartpur Road Bank Of Baroda Bank K Saman Nager Block - Nager District - Bhartpur Rajasthan 321205</v>
          </cell>
          <cell r="L234" t="str">
            <v>Rajasthan</v>
          </cell>
          <cell r="M234" t="str">
            <v>Plot no 123, Sector 56 Phase IV, Industrial estate, kundli sonipat, sonipat, Haryana, 131028</v>
          </cell>
          <cell r="N234" t="str">
            <v>Haryana</v>
          </cell>
          <cell r="O234" t="str">
            <v>Assets Shifting</v>
          </cell>
          <cell r="P234">
            <v>14000</v>
          </cell>
          <cell r="Q234">
            <v>0</v>
          </cell>
          <cell r="R234">
            <v>0</v>
          </cell>
          <cell r="S234">
            <v>0</v>
          </cell>
          <cell r="T234">
            <v>2520</v>
          </cell>
          <cell r="U234">
            <v>0</v>
          </cell>
          <cell r="V234">
            <v>16520</v>
          </cell>
          <cell r="W234">
            <v>140</v>
          </cell>
          <cell r="X234">
            <v>0.01</v>
          </cell>
          <cell r="Y234">
            <v>16380</v>
          </cell>
          <cell r="AC234">
            <v>16380</v>
          </cell>
          <cell r="AJ234">
            <v>14000</v>
          </cell>
        </row>
        <row r="235">
          <cell r="B235">
            <v>2012</v>
          </cell>
          <cell r="C235" t="str">
            <v>Hitachi</v>
          </cell>
          <cell r="D235" t="str">
            <v>Assets Shifting</v>
          </cell>
          <cell r="E235" t="str">
            <v>MCRM7052</v>
          </cell>
          <cell r="F235">
            <v>45873</v>
          </cell>
          <cell r="G235" t="str">
            <v>SSS/2025-26/088</v>
          </cell>
          <cell r="H235" t="str">
            <v>Str8 &amp; Secure Services</v>
          </cell>
          <cell r="I235" t="str">
            <v>AQIPG2144B</v>
          </cell>
          <cell r="J235" t="str">
            <v>07AQIPG2144B1ZF</v>
          </cell>
          <cell r="K235" t="str">
            <v>Shop No 1 Chotu Ram Nagar Linepar Ward No 11 Bahadurgarh</v>
          </cell>
          <cell r="L235" t="str">
            <v>Haryana</v>
          </cell>
          <cell r="M235" t="str">
            <v>Plot no 123, Sector 56 Phase IV, Industrial estate, kundli sonipat, sonipat, Haryana, 131028</v>
          </cell>
          <cell r="N235" t="str">
            <v>Haryana</v>
          </cell>
          <cell r="O235" t="str">
            <v>Assets Shifting</v>
          </cell>
          <cell r="P235">
            <v>17500</v>
          </cell>
          <cell r="Q235">
            <v>0</v>
          </cell>
          <cell r="R235">
            <v>0</v>
          </cell>
          <cell r="S235">
            <v>0</v>
          </cell>
          <cell r="T235">
            <v>3150</v>
          </cell>
          <cell r="U235">
            <v>0</v>
          </cell>
          <cell r="V235">
            <v>20650</v>
          </cell>
          <cell r="W235">
            <v>175</v>
          </cell>
          <cell r="X235">
            <v>0.01</v>
          </cell>
          <cell r="Y235">
            <v>20475</v>
          </cell>
          <cell r="AC235">
            <v>20475</v>
          </cell>
          <cell r="AJ235">
            <v>17500</v>
          </cell>
        </row>
        <row r="236">
          <cell r="B236">
            <v>2013</v>
          </cell>
          <cell r="C236" t="str">
            <v>Hitachi</v>
          </cell>
          <cell r="D236" t="str">
            <v>Assets Shifting</v>
          </cell>
          <cell r="E236" t="str">
            <v>MPZ12634</v>
          </cell>
          <cell r="F236">
            <v>45873</v>
          </cell>
          <cell r="G236" t="str">
            <v>SSS/2025-26/084</v>
          </cell>
          <cell r="H236" t="str">
            <v>Str8 &amp; Secure Services</v>
          </cell>
          <cell r="I236" t="str">
            <v>AQIPG2144B</v>
          </cell>
          <cell r="J236" t="str">
            <v>07AQIPG2144B1ZF</v>
          </cell>
          <cell r="K236" t="str">
            <v>Saket Nagar, NCR Colony Harwara, Dhoomanganj Allahabad</v>
          </cell>
          <cell r="L236" t="str">
            <v>Uttar Pradesh</v>
          </cell>
          <cell r="M236" t="str">
            <v>Plot no 123, Sector 56 Phase IV, Industrial estate, kundli sonipat, sonipat, Haryana, 131028</v>
          </cell>
          <cell r="N236" t="str">
            <v>Haryana</v>
          </cell>
          <cell r="O236" t="str">
            <v>Assets Shifting</v>
          </cell>
          <cell r="P236">
            <v>2000</v>
          </cell>
          <cell r="Q236">
            <v>0</v>
          </cell>
          <cell r="R236">
            <v>0</v>
          </cell>
          <cell r="S236">
            <v>0</v>
          </cell>
          <cell r="T236">
            <v>360</v>
          </cell>
          <cell r="U236">
            <v>0</v>
          </cell>
          <cell r="V236">
            <v>2360</v>
          </cell>
          <cell r="W236">
            <v>20</v>
          </cell>
          <cell r="X236">
            <v>0.01</v>
          </cell>
          <cell r="Y236">
            <v>2340</v>
          </cell>
          <cell r="AC236">
            <v>2340</v>
          </cell>
          <cell r="AJ236">
            <v>2000</v>
          </cell>
        </row>
        <row r="237">
          <cell r="B237">
            <v>1893</v>
          </cell>
          <cell r="C237" t="str">
            <v>NCR-Umesh</v>
          </cell>
          <cell r="D237" t="str">
            <v>Assets Shifting</v>
          </cell>
          <cell r="E237" t="str">
            <v>MPZ02520</v>
          </cell>
          <cell r="F237">
            <v>45904</v>
          </cell>
          <cell r="G237" t="str">
            <v>SSS/2025-26/098</v>
          </cell>
          <cell r="H237" t="str">
            <v>Str8 &amp; Secure Services</v>
          </cell>
          <cell r="I237" t="str">
            <v>AQIPG2144B</v>
          </cell>
          <cell r="J237" t="str">
            <v>07AQIPG2144B1ZF</v>
          </cell>
          <cell r="K237" t="str">
            <v>Nainital Bank - G.S. Medical College at NH 24 Village Peeplabandpur Near Railway Station, Pilkhuwa  245304</v>
          </cell>
          <cell r="L237" t="str">
            <v>Uttar Pradesh</v>
          </cell>
          <cell r="M237" t="str">
            <v>Plot no 123, Sector 56 Phase IV, Industrial estate, kundli sonipat, sonipat, Haryana, 131028</v>
          </cell>
          <cell r="N237" t="str">
            <v>Haryana</v>
          </cell>
          <cell r="O237" t="str">
            <v>Assets Shifting</v>
          </cell>
          <cell r="P237">
            <v>17000</v>
          </cell>
          <cell r="Q237">
            <v>0</v>
          </cell>
          <cell r="R237">
            <v>0</v>
          </cell>
          <cell r="S237">
            <v>0</v>
          </cell>
          <cell r="T237">
            <v>3060</v>
          </cell>
          <cell r="U237">
            <v>0</v>
          </cell>
          <cell r="V237">
            <v>20060</v>
          </cell>
          <cell r="W237">
            <v>170</v>
          </cell>
          <cell r="X237">
            <v>0.01</v>
          </cell>
          <cell r="Y237">
            <v>19890</v>
          </cell>
          <cell r="AC237">
            <v>19890</v>
          </cell>
          <cell r="AJ237">
            <v>17000</v>
          </cell>
        </row>
        <row r="238">
          <cell r="B238">
            <v>2011</v>
          </cell>
          <cell r="C238" t="str">
            <v>Hitachi</v>
          </cell>
          <cell r="D238" t="str">
            <v>Assets Shifting</v>
          </cell>
          <cell r="E238" t="str">
            <v>MCRM8361</v>
          </cell>
          <cell r="F238">
            <v>45904</v>
          </cell>
          <cell r="G238" t="str">
            <v>SSS/2025-26/093</v>
          </cell>
          <cell r="H238" t="str">
            <v>Str8 &amp; Secure Services</v>
          </cell>
          <cell r="I238" t="str">
            <v>AQIPG2144B</v>
          </cell>
          <cell r="J238" t="str">
            <v>07AQIPG2144B1ZF</v>
          </cell>
          <cell r="K238" t="str">
            <v>Shop No. 42, Floridaa O P Chains Rd, Sector 82, Faridabad, Haryana 121002</v>
          </cell>
          <cell r="L238" t="str">
            <v>Haryana</v>
          </cell>
          <cell r="M238" t="str">
            <v>Plot no 123, Sector 56 Phase IV, Industrial estate, kundli sonipat, sonipat, Haryana, 131028</v>
          </cell>
          <cell r="N238" t="str">
            <v>Haryana</v>
          </cell>
          <cell r="O238" t="str">
            <v>Assets Shifting</v>
          </cell>
          <cell r="P238">
            <v>17000</v>
          </cell>
          <cell r="Q238">
            <v>0</v>
          </cell>
          <cell r="R238">
            <v>0</v>
          </cell>
          <cell r="S238">
            <v>0</v>
          </cell>
          <cell r="T238">
            <v>3060</v>
          </cell>
          <cell r="U238">
            <v>0</v>
          </cell>
          <cell r="V238">
            <v>20060</v>
          </cell>
          <cell r="W238">
            <v>170</v>
          </cell>
          <cell r="X238">
            <v>0.01</v>
          </cell>
          <cell r="Y238">
            <v>19890</v>
          </cell>
          <cell r="AC238">
            <v>19890</v>
          </cell>
          <cell r="AJ238">
            <v>17000</v>
          </cell>
        </row>
        <row r="239">
          <cell r="B239">
            <v>2041</v>
          </cell>
          <cell r="C239" t="str">
            <v>Hitachi</v>
          </cell>
          <cell r="D239" t="str">
            <v>Assets Shifting</v>
          </cell>
          <cell r="E239" t="str">
            <v>MCRM1213</v>
          </cell>
          <cell r="F239">
            <v>45904</v>
          </cell>
          <cell r="G239" t="str">
            <v>SSS/2025-26/094</v>
          </cell>
          <cell r="H239" t="str">
            <v>Str8 &amp; Secure Services</v>
          </cell>
          <cell r="I239" t="str">
            <v>AQIPG2144B</v>
          </cell>
          <cell r="J239" t="str">
            <v>07AQIPG2144B1ZF</v>
          </cell>
          <cell r="K239" t="str">
            <v>Sarvodaya Public School, Tehsil Road Sajjangarh, Vpo-Sajjangarh, Tehsil-Sajjangarh, Dist-Banswara,Rajasthan,Pin Code-327602</v>
          </cell>
          <cell r="L239" t="str">
            <v>Rajasthan</v>
          </cell>
          <cell r="M239" t="str">
            <v>Plot no 123, Sector 56 Phase IV, Industrial estate, kundli sonipat, sonipat, Haryana, 131028</v>
          </cell>
          <cell r="N239" t="str">
            <v>Haryana</v>
          </cell>
          <cell r="O239" t="str">
            <v>Assets Shifting</v>
          </cell>
          <cell r="P239">
            <v>21000</v>
          </cell>
          <cell r="Q239">
            <v>0</v>
          </cell>
          <cell r="R239">
            <v>0</v>
          </cell>
          <cell r="S239">
            <v>0</v>
          </cell>
          <cell r="T239">
            <v>3780</v>
          </cell>
          <cell r="U239">
            <v>0</v>
          </cell>
          <cell r="V239">
            <v>24780</v>
          </cell>
          <cell r="W239">
            <v>210</v>
          </cell>
          <cell r="X239">
            <v>0.01</v>
          </cell>
          <cell r="Y239">
            <v>24570</v>
          </cell>
          <cell r="AC239">
            <v>24570</v>
          </cell>
          <cell r="AJ239">
            <v>21000</v>
          </cell>
        </row>
        <row r="240">
          <cell r="B240">
            <v>2047</v>
          </cell>
          <cell r="C240" t="str">
            <v>NCR-Umesh</v>
          </cell>
          <cell r="D240" t="str">
            <v>Assets Shifting</v>
          </cell>
          <cell r="E240" t="str">
            <v>MPZ13879</v>
          </cell>
          <cell r="F240">
            <v>45904</v>
          </cell>
          <cell r="G240" t="str">
            <v>SSS/2025-26/099</v>
          </cell>
          <cell r="H240" t="str">
            <v>Str8 &amp; Secure Services</v>
          </cell>
          <cell r="I240" t="str">
            <v>AQIPG2144B</v>
          </cell>
          <cell r="J240" t="str">
            <v>07AQIPG2144B1ZF</v>
          </cell>
          <cell r="K240" t="str">
            <v>Shop no 1, Gate 2, PGP glass kuwarda chokdi kosamba</v>
          </cell>
          <cell r="L240" t="str">
            <v>Gujarat</v>
          </cell>
          <cell r="M240" t="str">
            <v>Kishore Bagai Transport, l-2 Jai Mata Di Compound , 2nd left next to Hetvi Textile, Kalher Bhiwandi, Maharashtra - 421302</v>
          </cell>
          <cell r="N240" t="str">
            <v>Maharashtra</v>
          </cell>
          <cell r="O240" t="str">
            <v>Assets Shifting</v>
          </cell>
          <cell r="P240">
            <v>19000</v>
          </cell>
          <cell r="Q240">
            <v>0</v>
          </cell>
          <cell r="R240">
            <v>0</v>
          </cell>
          <cell r="S240">
            <v>0</v>
          </cell>
          <cell r="T240">
            <v>3420</v>
          </cell>
          <cell r="U240">
            <v>0</v>
          </cell>
          <cell r="V240">
            <v>22420</v>
          </cell>
          <cell r="W240">
            <v>190</v>
          </cell>
          <cell r="X240">
            <v>0.01</v>
          </cell>
          <cell r="Y240">
            <v>22230</v>
          </cell>
          <cell r="AC240">
            <v>22230</v>
          </cell>
          <cell r="AJ240">
            <v>19000</v>
          </cell>
        </row>
        <row r="241">
          <cell r="B241">
            <v>2048</v>
          </cell>
          <cell r="C241" t="str">
            <v>Hitachi</v>
          </cell>
          <cell r="D241" t="str">
            <v>Assets Shifting</v>
          </cell>
          <cell r="E241" t="str">
            <v>MCRM2316</v>
          </cell>
          <cell r="F241">
            <v>45904</v>
          </cell>
          <cell r="G241" t="str">
            <v>SSS/2025-26/094</v>
          </cell>
          <cell r="H241" t="str">
            <v>Str8 &amp; Secure Services</v>
          </cell>
          <cell r="I241" t="str">
            <v>AQIPG2144B</v>
          </cell>
          <cell r="J241" t="str">
            <v>07AQIPG2144B1ZF</v>
          </cell>
          <cell r="K241" t="str">
            <v>C/O Praveen Kumar Agrawal,Gangad Talai Main Road,Vpo-Gangadtali,Dist.-Banswara,Rajasthan Near Jodhpur Mithae Bhandar Pincode 327601.</v>
          </cell>
          <cell r="L241" t="str">
            <v>Rajasthan</v>
          </cell>
          <cell r="M241" t="str">
            <v>Plot no 123, Sector 56 Phase IV, Industrial estate, kundli sonipat, sonipat, Haryana, 131028</v>
          </cell>
          <cell r="N241" t="str">
            <v>Haryana</v>
          </cell>
          <cell r="O241" t="str">
            <v>Assets Shifting</v>
          </cell>
          <cell r="P241">
            <v>21000</v>
          </cell>
          <cell r="Q241">
            <v>0</v>
          </cell>
          <cell r="R241">
            <v>0</v>
          </cell>
          <cell r="S241">
            <v>0</v>
          </cell>
          <cell r="T241">
            <v>3780</v>
          </cell>
          <cell r="U241">
            <v>0</v>
          </cell>
          <cell r="V241">
            <v>24780</v>
          </cell>
          <cell r="W241">
            <v>210</v>
          </cell>
          <cell r="X241">
            <v>0.01</v>
          </cell>
          <cell r="Y241">
            <v>24570</v>
          </cell>
          <cell r="AC241">
            <v>24570</v>
          </cell>
          <cell r="AJ241">
            <v>21000</v>
          </cell>
        </row>
        <row r="242">
          <cell r="B242">
            <v>2049</v>
          </cell>
          <cell r="C242" t="str">
            <v>Hitachi</v>
          </cell>
          <cell r="D242" t="str">
            <v>Assets Shifting</v>
          </cell>
          <cell r="E242">
            <v>201450199</v>
          </cell>
          <cell r="F242">
            <v>45904</v>
          </cell>
          <cell r="G242" t="str">
            <v>SSS/2025-26/093</v>
          </cell>
          <cell r="H242" t="str">
            <v>Str8 &amp; Secure Services</v>
          </cell>
          <cell r="I242" t="str">
            <v>AQIPG2144B</v>
          </cell>
          <cell r="J242" t="str">
            <v>07AQIPG2144B1ZF</v>
          </cell>
          <cell r="K242" t="str">
            <v>Ahmedabad warehouse</v>
          </cell>
          <cell r="L242" t="str">
            <v>Gujarat</v>
          </cell>
          <cell r="M242" t="str">
            <v>SHREE MAHALAXMI KIRANA STORE,MAIN BAZAR,MAHISA, MU. POST - MAHISA, TALUKO - MAHUDHA, DIST.- KHEDA PINCODE - 387340</v>
          </cell>
          <cell r="N242" t="str">
            <v>Gujarat</v>
          </cell>
          <cell r="O242" t="str">
            <v>Assets Shifting</v>
          </cell>
          <cell r="P242">
            <v>3000</v>
          </cell>
          <cell r="Q242">
            <v>0</v>
          </cell>
          <cell r="R242">
            <v>0</v>
          </cell>
          <cell r="S242">
            <v>0</v>
          </cell>
          <cell r="T242">
            <v>540</v>
          </cell>
          <cell r="U242">
            <v>0</v>
          </cell>
          <cell r="V242">
            <v>3540</v>
          </cell>
          <cell r="W242">
            <v>30</v>
          </cell>
          <cell r="X242">
            <v>0.01</v>
          </cell>
          <cell r="Y242">
            <v>3510</v>
          </cell>
          <cell r="AC242">
            <v>3510</v>
          </cell>
          <cell r="AJ242">
            <v>3000</v>
          </cell>
        </row>
        <row r="243">
          <cell r="B243">
            <v>2050</v>
          </cell>
          <cell r="C243" t="str">
            <v>Hitachi</v>
          </cell>
          <cell r="D243" t="str">
            <v>Assets Shifting</v>
          </cell>
          <cell r="E243" t="str">
            <v>MCRM7136</v>
          </cell>
          <cell r="F243">
            <v>45904</v>
          </cell>
          <cell r="G243" t="str">
            <v>SSS/2025-26/093</v>
          </cell>
          <cell r="H243" t="str">
            <v>Str8 &amp; Secure Services</v>
          </cell>
          <cell r="I243" t="str">
            <v>AQIPG2144B</v>
          </cell>
          <cell r="J243" t="str">
            <v>07AQIPG2144B1ZF</v>
          </cell>
          <cell r="K243" t="str">
            <v>Shop No-1,Adjoining Csp Point &amp; Pm Beej Bandar Outlet, Achina Bhiwani,Haryana</v>
          </cell>
          <cell r="L243" t="str">
            <v>Haryana</v>
          </cell>
          <cell r="M243" t="str">
            <v>Plot no 123, Sector 56 Phase IV, Industrial estate, kundli sonipat, sonipat, Haryana, 131028</v>
          </cell>
          <cell r="N243" t="str">
            <v>Haryana</v>
          </cell>
          <cell r="O243" t="str">
            <v>Assets Shifting</v>
          </cell>
          <cell r="P243">
            <v>17000</v>
          </cell>
          <cell r="Q243">
            <v>0</v>
          </cell>
          <cell r="R243">
            <v>0</v>
          </cell>
          <cell r="S243">
            <v>0</v>
          </cell>
          <cell r="T243">
            <v>3060</v>
          </cell>
          <cell r="U243">
            <v>0</v>
          </cell>
          <cell r="V243">
            <v>20060</v>
          </cell>
          <cell r="W243">
            <v>170</v>
          </cell>
          <cell r="X243">
            <v>0.01</v>
          </cell>
          <cell r="Y243">
            <v>19890</v>
          </cell>
          <cell r="AC243">
            <v>19890</v>
          </cell>
          <cell r="AJ243">
            <v>17000</v>
          </cell>
        </row>
        <row r="244">
          <cell r="B244">
            <v>2065</v>
          </cell>
          <cell r="C244" t="str">
            <v>NCR-Umesh</v>
          </cell>
          <cell r="D244" t="str">
            <v>Assets Shifting</v>
          </cell>
          <cell r="E244" t="str">
            <v>MPZ12154</v>
          </cell>
          <cell r="F244">
            <v>45904</v>
          </cell>
          <cell r="G244" t="str">
            <v>SSS/2025-26/098</v>
          </cell>
          <cell r="H244" t="str">
            <v>Str8 &amp; Secure Services</v>
          </cell>
          <cell r="I244" t="str">
            <v>AQIPG2144B</v>
          </cell>
          <cell r="J244" t="str">
            <v>07AQIPG2144B1ZF</v>
          </cell>
          <cell r="K244" t="str">
            <v>428,Basant Vihar, Muzaffarnagar, Uttar Pradesh,251001,India.</v>
          </cell>
          <cell r="L244" t="str">
            <v>Uttar Pradesh</v>
          </cell>
          <cell r="M244" t="str">
            <v>Plot no 123, Sector 56 Phase IV, Industrial estate, kundli sonipat, sonipat, Haryana, 131028</v>
          </cell>
          <cell r="N244" t="str">
            <v>Haryana</v>
          </cell>
          <cell r="O244" t="str">
            <v>Assets Shifting</v>
          </cell>
          <cell r="P244">
            <v>18000</v>
          </cell>
          <cell r="Q244">
            <v>0</v>
          </cell>
          <cell r="R244">
            <v>0</v>
          </cell>
          <cell r="S244">
            <v>0</v>
          </cell>
          <cell r="T244">
            <v>3240</v>
          </cell>
          <cell r="U244">
            <v>0</v>
          </cell>
          <cell r="V244">
            <v>21240</v>
          </cell>
          <cell r="W244">
            <v>180</v>
          </cell>
          <cell r="X244">
            <v>0.01</v>
          </cell>
          <cell r="Y244">
            <v>21060</v>
          </cell>
          <cell r="AC244">
            <v>21060</v>
          </cell>
          <cell r="AJ244">
            <v>18000</v>
          </cell>
        </row>
        <row r="245">
          <cell r="B245">
            <v>2064</v>
          </cell>
          <cell r="C245" t="str">
            <v>Hitachi</v>
          </cell>
          <cell r="D245" t="str">
            <v>Assets Shifting</v>
          </cell>
          <cell r="E245" t="str">
            <v>MCRM2306</v>
          </cell>
          <cell r="F245">
            <v>45904</v>
          </cell>
          <cell r="G245" t="str">
            <v>SSS/2025-26/095</v>
          </cell>
          <cell r="H245" t="str">
            <v>Str8 &amp; Secure Services</v>
          </cell>
          <cell r="I245" t="str">
            <v>AQIPG2144B</v>
          </cell>
          <cell r="J245" t="str">
            <v>07AQIPG2144B1ZF</v>
          </cell>
          <cell r="K245" t="str">
            <v>MAIN TIRAHA, NEAR HADAF BRIDGE, DAHOD ROAD,DAHOD ROAD, TALUKA- LIMKHEDA, DIST-DAHOD, PIN CODE- 389140</v>
          </cell>
          <cell r="L245" t="str">
            <v>Gujarat</v>
          </cell>
          <cell r="M245" t="str">
            <v>Kishore Bagai Transport, l-2 Jai Mata Di Compound , 2nd left next to Hetvi Textile, Kalher Bhiwandi, Maharashtra - 421302</v>
          </cell>
          <cell r="N245" t="str">
            <v>Maharashtra</v>
          </cell>
          <cell r="O245" t="str">
            <v>Assets Shifting</v>
          </cell>
          <cell r="P245">
            <v>21000</v>
          </cell>
          <cell r="Q245">
            <v>0</v>
          </cell>
          <cell r="R245">
            <v>0</v>
          </cell>
          <cell r="S245">
            <v>0</v>
          </cell>
          <cell r="T245">
            <v>3780</v>
          </cell>
          <cell r="U245">
            <v>0</v>
          </cell>
          <cell r="V245">
            <v>24780</v>
          </cell>
          <cell r="W245">
            <v>210</v>
          </cell>
          <cell r="X245">
            <v>0.01</v>
          </cell>
          <cell r="Y245">
            <v>24570</v>
          </cell>
          <cell r="AC245">
            <v>24570</v>
          </cell>
          <cell r="AJ245">
            <v>21000</v>
          </cell>
        </row>
        <row r="246">
          <cell r="B246">
            <v>2063</v>
          </cell>
          <cell r="C246" t="str">
            <v>Hitachi</v>
          </cell>
          <cell r="D246" t="str">
            <v>Assets Shifting</v>
          </cell>
          <cell r="E246" t="str">
            <v>MCRM7151</v>
          </cell>
          <cell r="F246">
            <v>45904</v>
          </cell>
          <cell r="G246" t="str">
            <v>SSS/2025-26/095</v>
          </cell>
          <cell r="H246" t="str">
            <v>Str8 &amp; Secure Services</v>
          </cell>
          <cell r="I246" t="str">
            <v>AQIPG2144B</v>
          </cell>
          <cell r="J246" t="str">
            <v>07AQIPG2144B1ZF</v>
          </cell>
          <cell r="K246" t="str">
            <v>AGARAVAT CHOWK NR.GAYATRI DIARY JOSHIPARA JUNAGADH</v>
          </cell>
          <cell r="L246" t="str">
            <v>Gujarat</v>
          </cell>
          <cell r="M246" t="str">
            <v>Kishore Bagai Transport, l-2 Jai Mata Di Compound , 2nd left next to Hetvi Textile, Kalher Bhiwandi, Maharashtra - 421302</v>
          </cell>
          <cell r="N246" t="str">
            <v>Maharashtra</v>
          </cell>
          <cell r="O246" t="str">
            <v>Assets Shifting</v>
          </cell>
          <cell r="P246">
            <v>21000</v>
          </cell>
          <cell r="Q246">
            <v>0</v>
          </cell>
          <cell r="R246">
            <v>0</v>
          </cell>
          <cell r="S246">
            <v>0</v>
          </cell>
          <cell r="T246">
            <v>3780</v>
          </cell>
          <cell r="U246">
            <v>0</v>
          </cell>
          <cell r="V246">
            <v>24780</v>
          </cell>
          <cell r="W246">
            <v>210</v>
          </cell>
          <cell r="X246">
            <v>0.01</v>
          </cell>
          <cell r="Y246">
            <v>24570</v>
          </cell>
          <cell r="AC246">
            <v>24570</v>
          </cell>
          <cell r="AJ246">
            <v>21000</v>
          </cell>
        </row>
        <row r="247">
          <cell r="B247">
            <v>1731</v>
          </cell>
          <cell r="C247" t="str">
            <v>NCR-Umesh</v>
          </cell>
          <cell r="D247" t="str">
            <v>Assets Shifting</v>
          </cell>
          <cell r="E247" t="str">
            <v>MPZ12214</v>
          </cell>
          <cell r="F247">
            <v>45904</v>
          </cell>
          <cell r="G247" t="str">
            <v>SSS/2025-26/098</v>
          </cell>
          <cell r="H247" t="str">
            <v>Str8 &amp; Secure Services</v>
          </cell>
          <cell r="I247" t="str">
            <v>AQIPG2144B</v>
          </cell>
          <cell r="J247" t="str">
            <v>07AQIPG2144B1ZF</v>
          </cell>
          <cell r="K247" t="str">
            <v>Balaji Nagar, Main Road, Boosi, Pali</v>
          </cell>
          <cell r="L247" t="str">
            <v>Rajasthan</v>
          </cell>
          <cell r="M247" t="str">
            <v>Plot no 123, Sector 56 Phase IV, Industrial estate, kundli sonipat, sonipat, Haryana, 131028</v>
          </cell>
          <cell r="N247" t="str">
            <v>Haryana</v>
          </cell>
          <cell r="O247" t="str">
            <v>Assets Shifting</v>
          </cell>
          <cell r="P247">
            <v>19000</v>
          </cell>
          <cell r="Q247">
            <v>0</v>
          </cell>
          <cell r="R247">
            <v>0</v>
          </cell>
          <cell r="S247">
            <v>0</v>
          </cell>
          <cell r="T247">
            <v>3420</v>
          </cell>
          <cell r="U247">
            <v>0</v>
          </cell>
          <cell r="V247">
            <v>22420</v>
          </cell>
          <cell r="W247">
            <v>190</v>
          </cell>
          <cell r="X247">
            <v>0.01</v>
          </cell>
          <cell r="Y247">
            <v>22230</v>
          </cell>
          <cell r="AC247">
            <v>22230</v>
          </cell>
          <cell r="AJ247">
            <v>19000</v>
          </cell>
        </row>
        <row r="248">
          <cell r="B248">
            <v>2077</v>
          </cell>
          <cell r="C248" t="str">
            <v>Hitachi</v>
          </cell>
          <cell r="D248" t="str">
            <v>Assets Shifting</v>
          </cell>
          <cell r="E248" t="str">
            <v>MPZ05580</v>
          </cell>
          <cell r="F248">
            <v>45904</v>
          </cell>
          <cell r="G248" t="str">
            <v>SSS/2025-26/094</v>
          </cell>
          <cell r="H248" t="str">
            <v>Str8 &amp; Secure Services</v>
          </cell>
          <cell r="I248" t="str">
            <v>AQIPG2144B</v>
          </cell>
          <cell r="J248" t="str">
            <v>07AQIPG2144B1ZF</v>
          </cell>
          <cell r="K248" t="str">
            <v>G-11, Swastik Plaza, Beside Bank Of Baroda, Raj Nagar, Surat-Navsari Road, Sachin, Surat-394230.</v>
          </cell>
          <cell r="L248" t="str">
            <v>Gujarat</v>
          </cell>
          <cell r="M248" t="str">
            <v>Plot no 123, Sector 56 Phase IV, Industrial estate, kundli sonipat, sonipat, Haryana, 131028</v>
          </cell>
          <cell r="N248" t="str">
            <v>Haryana</v>
          </cell>
          <cell r="O248" t="str">
            <v>Assets Shifting</v>
          </cell>
          <cell r="P248">
            <v>21000</v>
          </cell>
          <cell r="Q248">
            <v>0</v>
          </cell>
          <cell r="R248">
            <v>0</v>
          </cell>
          <cell r="S248">
            <v>0</v>
          </cell>
          <cell r="T248">
            <v>3780</v>
          </cell>
          <cell r="U248">
            <v>0</v>
          </cell>
          <cell r="V248">
            <v>24780</v>
          </cell>
          <cell r="W248">
            <v>210</v>
          </cell>
          <cell r="X248">
            <v>0.01</v>
          </cell>
          <cell r="Y248">
            <v>24570</v>
          </cell>
          <cell r="AC248">
            <v>24570</v>
          </cell>
          <cell r="AJ248">
            <v>21000</v>
          </cell>
        </row>
        <row r="249">
          <cell r="B249">
            <v>2078</v>
          </cell>
          <cell r="C249" t="str">
            <v>Hitachi</v>
          </cell>
          <cell r="D249" t="str">
            <v>Assets Shifting</v>
          </cell>
          <cell r="E249" t="str">
            <v>MPB00561</v>
          </cell>
          <cell r="F249">
            <v>45904</v>
          </cell>
          <cell r="G249" t="str">
            <v>SSS/2025-26/094</v>
          </cell>
          <cell r="H249" t="str">
            <v>Str8 &amp; Secure Services</v>
          </cell>
          <cell r="I249" t="str">
            <v>AQIPG2144B</v>
          </cell>
          <cell r="J249" t="str">
            <v>07AQIPG2144B1ZF</v>
          </cell>
          <cell r="K249" t="str">
            <v>Shop of Nileshbhai Kyada Nr Aishwarya Mill Patel Nagar Vareli Kadodara Surat 394327</v>
          </cell>
          <cell r="L249" t="str">
            <v>Gujarat</v>
          </cell>
          <cell r="M249" t="str">
            <v>Plot no 123, Sector 56 Phase IV, Industrial estate, kundli sonipat, sonipat, Haryana, 131028</v>
          </cell>
          <cell r="N249" t="str">
            <v>Haryana</v>
          </cell>
          <cell r="O249" t="str">
            <v>Assets Shifting</v>
          </cell>
          <cell r="P249">
            <v>21000</v>
          </cell>
          <cell r="Q249">
            <v>0</v>
          </cell>
          <cell r="R249">
            <v>0</v>
          </cell>
          <cell r="S249">
            <v>0</v>
          </cell>
          <cell r="T249">
            <v>3780</v>
          </cell>
          <cell r="U249">
            <v>0</v>
          </cell>
          <cell r="V249">
            <v>24780</v>
          </cell>
          <cell r="W249">
            <v>210</v>
          </cell>
          <cell r="X249">
            <v>0.01</v>
          </cell>
          <cell r="Y249">
            <v>24570</v>
          </cell>
          <cell r="AC249">
            <v>24570</v>
          </cell>
          <cell r="AJ249">
            <v>21000</v>
          </cell>
        </row>
        <row r="250">
          <cell r="B250">
            <v>2079</v>
          </cell>
          <cell r="C250" t="str">
            <v>NCR-Umesh</v>
          </cell>
          <cell r="D250" t="str">
            <v>Assets Shifting</v>
          </cell>
          <cell r="E250" t="str">
            <v>MPB02909</v>
          </cell>
          <cell r="F250">
            <v>45904</v>
          </cell>
          <cell r="G250" t="str">
            <v>SSS/2025-26/099</v>
          </cell>
          <cell r="H250" t="str">
            <v>Str8 &amp; Secure Services</v>
          </cell>
          <cell r="I250" t="str">
            <v>AQIPG2144B</v>
          </cell>
          <cell r="J250" t="str">
            <v>07AQIPG2144B1ZF</v>
          </cell>
          <cell r="K250" t="str">
            <v>Ashirwadnagar, Pandesara, Plot No. 466, Balod gaon, GIDC Pandesara.</v>
          </cell>
          <cell r="L250" t="str">
            <v>Gujarat</v>
          </cell>
          <cell r="M250" t="str">
            <v>Kishore Bagai Transport, l-2 Jai Mata Di Compound , 2nd left next to Hetvi Textile, Kalher Bhiwandi, Maharashtra - 421302</v>
          </cell>
          <cell r="N250" t="str">
            <v>Maharashtra</v>
          </cell>
          <cell r="O250" t="str">
            <v>Assets Shifting</v>
          </cell>
          <cell r="P250">
            <v>19000</v>
          </cell>
          <cell r="Q250">
            <v>0</v>
          </cell>
          <cell r="R250">
            <v>0</v>
          </cell>
          <cell r="S250">
            <v>0</v>
          </cell>
          <cell r="T250">
            <v>3420</v>
          </cell>
          <cell r="U250">
            <v>0</v>
          </cell>
          <cell r="V250">
            <v>22420</v>
          </cell>
          <cell r="W250">
            <v>190</v>
          </cell>
          <cell r="X250">
            <v>0.01</v>
          </cell>
          <cell r="Y250">
            <v>22230</v>
          </cell>
          <cell r="AC250">
            <v>22230</v>
          </cell>
          <cell r="AJ250">
            <v>19000</v>
          </cell>
        </row>
        <row r="251">
          <cell r="B251">
            <v>2098</v>
          </cell>
          <cell r="C251" t="str">
            <v>Hitachi</v>
          </cell>
          <cell r="D251" t="str">
            <v>Assets Shifting</v>
          </cell>
          <cell r="E251" t="str">
            <v>MPZ04182</v>
          </cell>
          <cell r="F251">
            <v>45904</v>
          </cell>
          <cell r="G251" t="str">
            <v>SSS/2025-26/093</v>
          </cell>
          <cell r="H251" t="str">
            <v>Str8 &amp; Secure Services</v>
          </cell>
          <cell r="I251" t="str">
            <v>AQIPG2144B</v>
          </cell>
          <cell r="J251" t="str">
            <v>07AQIPG2144B1ZF</v>
          </cell>
          <cell r="K251" t="str">
            <v>Shop 11 Ashirwad Complex Sector 1 Plot No 83 Koperkhairne Navi Mumbai</v>
          </cell>
          <cell r="L251" t="str">
            <v>Maharashtra</v>
          </cell>
          <cell r="M251" t="str">
            <v>Plot no 123, Sector 56 Phase IV, Industrial estate, kundli sonipat, sonipat, Haryana, 131028</v>
          </cell>
          <cell r="N251" t="str">
            <v>Haryana</v>
          </cell>
          <cell r="O251" t="str">
            <v>Assets Shifting</v>
          </cell>
          <cell r="P251">
            <v>21000</v>
          </cell>
          <cell r="Q251">
            <v>0</v>
          </cell>
          <cell r="R251">
            <v>0</v>
          </cell>
          <cell r="S251">
            <v>0</v>
          </cell>
          <cell r="T251">
            <v>3780</v>
          </cell>
          <cell r="U251">
            <v>0</v>
          </cell>
          <cell r="V251">
            <v>24780</v>
          </cell>
          <cell r="W251">
            <v>210</v>
          </cell>
          <cell r="X251">
            <v>0.01</v>
          </cell>
          <cell r="Y251">
            <v>24570</v>
          </cell>
          <cell r="AC251">
            <v>24570</v>
          </cell>
          <cell r="AJ251">
            <v>21000</v>
          </cell>
        </row>
        <row r="252">
          <cell r="B252">
            <v>2102</v>
          </cell>
          <cell r="C252" t="str">
            <v>NCR-Umesh</v>
          </cell>
          <cell r="D252" t="str">
            <v>Assets Shifting</v>
          </cell>
          <cell r="E252" t="str">
            <v>MPZ12154</v>
          </cell>
          <cell r="F252">
            <v>45904</v>
          </cell>
          <cell r="G252" t="str">
            <v>SSS/2025-26/098</v>
          </cell>
          <cell r="H252" t="str">
            <v>Str8 &amp; Secure Services</v>
          </cell>
          <cell r="I252" t="str">
            <v>AQIPG2144B</v>
          </cell>
          <cell r="J252" t="str">
            <v>07AQIPG2144B1ZF</v>
          </cell>
          <cell r="K252" t="str">
            <v>Plot no 123, Sector 56 Phase IV, Industrial estate, kundli sonipat, sonipat, Haryana, 131028</v>
          </cell>
          <cell r="L252" t="str">
            <v>Haryana</v>
          </cell>
          <cell r="M252" t="str">
            <v>Shop No 15, Sherpur, Jansath Road Muzaffernagar</v>
          </cell>
          <cell r="N252" t="str">
            <v>Uttar Pradesh</v>
          </cell>
          <cell r="O252" t="str">
            <v>Assets Shifting</v>
          </cell>
          <cell r="P252">
            <v>7000</v>
          </cell>
          <cell r="Q252">
            <v>0</v>
          </cell>
          <cell r="R252">
            <v>0</v>
          </cell>
          <cell r="S252">
            <v>0</v>
          </cell>
          <cell r="T252">
            <v>1260</v>
          </cell>
          <cell r="U252">
            <v>0</v>
          </cell>
          <cell r="V252">
            <v>8260</v>
          </cell>
          <cell r="W252">
            <v>70</v>
          </cell>
          <cell r="X252">
            <v>0.01</v>
          </cell>
          <cell r="Y252">
            <v>8190</v>
          </cell>
          <cell r="AC252">
            <v>8190</v>
          </cell>
          <cell r="AJ252">
            <v>7000</v>
          </cell>
        </row>
        <row r="253">
          <cell r="B253">
            <v>2097</v>
          </cell>
          <cell r="C253" t="str">
            <v>Hitachi</v>
          </cell>
          <cell r="D253" t="str">
            <v>Assets Shifting</v>
          </cell>
          <cell r="E253" t="str">
            <v>MCRM8551</v>
          </cell>
          <cell r="F253">
            <v>45904</v>
          </cell>
          <cell r="G253" t="str">
            <v>SSS/2025-26/096</v>
          </cell>
          <cell r="H253" t="str">
            <v>Str8 &amp; Secure Services</v>
          </cell>
          <cell r="I253" t="str">
            <v>AQIPG2144B</v>
          </cell>
          <cell r="J253" t="str">
            <v>07AQIPG2144B1ZF</v>
          </cell>
          <cell r="K253" t="str">
            <v>Sardar Samand Road Near By Gora Hotel Jhalamand, Jodhpur 342005</v>
          </cell>
          <cell r="L253" t="str">
            <v>Rajasthan</v>
          </cell>
          <cell r="M253" t="str">
            <v>Plot no 123, Sector 56 Phase IV, Industrial estate, kundli sonipat, sonipat, Haryana, 131028</v>
          </cell>
          <cell r="N253" t="str">
            <v>Haryana</v>
          </cell>
          <cell r="O253" t="str">
            <v>Assets Shifting</v>
          </cell>
          <cell r="P253">
            <v>2000</v>
          </cell>
          <cell r="Q253">
            <v>0</v>
          </cell>
          <cell r="R253">
            <v>0</v>
          </cell>
          <cell r="S253">
            <v>0</v>
          </cell>
          <cell r="T253">
            <v>360</v>
          </cell>
          <cell r="U253">
            <v>0</v>
          </cell>
          <cell r="V253">
            <v>2360</v>
          </cell>
          <cell r="W253">
            <v>20</v>
          </cell>
          <cell r="X253">
            <v>0.01</v>
          </cell>
          <cell r="Y253">
            <v>2340</v>
          </cell>
          <cell r="AC253">
            <v>2340</v>
          </cell>
          <cell r="AJ253">
            <v>2000</v>
          </cell>
        </row>
        <row r="254">
          <cell r="B254">
            <v>2101</v>
          </cell>
          <cell r="C254" t="str">
            <v>Hitachi</v>
          </cell>
          <cell r="D254" t="str">
            <v>Assets Shifting</v>
          </cell>
          <cell r="E254" t="str">
            <v>MPZ14515</v>
          </cell>
          <cell r="F254">
            <v>45904</v>
          </cell>
          <cell r="G254" t="str">
            <v>SSS/2025-26/093</v>
          </cell>
          <cell r="H254" t="str">
            <v>Str8 &amp; Secure Services</v>
          </cell>
          <cell r="I254" t="str">
            <v>AQIPG2144B</v>
          </cell>
          <cell r="J254" t="str">
            <v>07AQIPG2144B1ZF</v>
          </cell>
          <cell r="K254" t="str">
            <v>Shop No - 5,Shravani Industries, Pune- Nashik Highway, Sonawane vasti, Kurali, Tal- Khed, Pune-410501</v>
          </cell>
          <cell r="L254" t="str">
            <v>Maharashtra</v>
          </cell>
          <cell r="M254" t="str">
            <v>Plot no 123, Sector 56 Phase IV, Industrial estate, kundli sonipat, sonipat, Haryana, 131028</v>
          </cell>
          <cell r="N254" t="str">
            <v>Haryana</v>
          </cell>
          <cell r="O254" t="str">
            <v>Assets Shifting</v>
          </cell>
          <cell r="P254">
            <v>22000</v>
          </cell>
          <cell r="Q254">
            <v>0</v>
          </cell>
          <cell r="R254">
            <v>0</v>
          </cell>
          <cell r="S254">
            <v>0</v>
          </cell>
          <cell r="T254">
            <v>3960</v>
          </cell>
          <cell r="U254">
            <v>0</v>
          </cell>
          <cell r="V254">
            <v>25960</v>
          </cell>
          <cell r="W254">
            <v>220</v>
          </cell>
          <cell r="X254">
            <v>0.01</v>
          </cell>
          <cell r="Y254">
            <v>25740</v>
          </cell>
          <cell r="AC254">
            <v>25740</v>
          </cell>
          <cell r="AJ254">
            <v>22000</v>
          </cell>
        </row>
        <row r="255">
          <cell r="B255">
            <v>2100</v>
          </cell>
          <cell r="C255" t="str">
            <v>Hitachi</v>
          </cell>
          <cell r="D255" t="str">
            <v>Assets Shifting</v>
          </cell>
          <cell r="E255" t="str">
            <v>MPZ08446</v>
          </cell>
          <cell r="F255">
            <v>45904</v>
          </cell>
          <cell r="G255" t="str">
            <v>SSS/2025-26/096</v>
          </cell>
          <cell r="H255" t="str">
            <v>Str8 &amp; Secure Services</v>
          </cell>
          <cell r="I255" t="str">
            <v>AQIPG2144B</v>
          </cell>
          <cell r="J255" t="str">
            <v>07AQIPG2144B1ZF</v>
          </cell>
          <cell r="K255" t="str">
            <v>Shop No 2,V&amp;P Khori , Rewari, Haryana..Near Union Bank Bus Stand Pin Code 123101</v>
          </cell>
          <cell r="L255" t="str">
            <v>Haryana</v>
          </cell>
          <cell r="M255" t="str">
            <v>Plot no 123, Sector 56 Phase IV, Industrial estate, kundli sonipat, sonipat, Haryana, 131028</v>
          </cell>
          <cell r="N255" t="str">
            <v>Haryana</v>
          </cell>
          <cell r="O255" t="str">
            <v>Assets Shifting</v>
          </cell>
          <cell r="P255">
            <v>2000</v>
          </cell>
          <cell r="Q255">
            <v>0</v>
          </cell>
          <cell r="R255">
            <v>0</v>
          </cell>
          <cell r="S255">
            <v>0</v>
          </cell>
          <cell r="T255">
            <v>360</v>
          </cell>
          <cell r="U255">
            <v>0</v>
          </cell>
          <cell r="V255">
            <v>2360</v>
          </cell>
          <cell r="W255">
            <v>20</v>
          </cell>
          <cell r="X255">
            <v>0.01</v>
          </cell>
          <cell r="Y255">
            <v>2340</v>
          </cell>
          <cell r="AC255">
            <v>2340</v>
          </cell>
          <cell r="AJ255">
            <v>2000</v>
          </cell>
        </row>
        <row r="256">
          <cell r="B256">
            <v>1304</v>
          </cell>
          <cell r="C256" t="str">
            <v>Hitachi</v>
          </cell>
          <cell r="D256" t="str">
            <v>Assets Shifting</v>
          </cell>
          <cell r="E256" t="str">
            <v>MPZ09871</v>
          </cell>
          <cell r="F256">
            <v>45904</v>
          </cell>
          <cell r="G256" t="str">
            <v>SSS/2025-26/093</v>
          </cell>
          <cell r="H256" t="str">
            <v>Str8 &amp; Secure Services</v>
          </cell>
          <cell r="I256" t="str">
            <v>AQIPG2144B</v>
          </cell>
          <cell r="J256" t="str">
            <v>07AQIPG2144B1ZF</v>
          </cell>
          <cell r="K256" t="str">
            <v>Biwan,Pinangwa Road, Bewan, Mewat, Haryana, 122104</v>
          </cell>
          <cell r="L256" t="str">
            <v>Haryana</v>
          </cell>
          <cell r="M256" t="str">
            <v>Plot no 123, Sector 56 Phase IV, Industrial estate, kundli sonipat, sonipat, Haryana, 131028</v>
          </cell>
          <cell r="N256" t="str">
            <v>Haryana</v>
          </cell>
          <cell r="O256" t="str">
            <v>Assets Shifting</v>
          </cell>
          <cell r="P256">
            <v>17000</v>
          </cell>
          <cell r="Q256">
            <v>0</v>
          </cell>
          <cell r="R256">
            <v>0</v>
          </cell>
          <cell r="S256">
            <v>0</v>
          </cell>
          <cell r="T256">
            <v>3060</v>
          </cell>
          <cell r="U256">
            <v>0</v>
          </cell>
          <cell r="V256">
            <v>20060</v>
          </cell>
          <cell r="W256">
            <v>170</v>
          </cell>
          <cell r="X256">
            <v>0.01</v>
          </cell>
          <cell r="Y256">
            <v>19890</v>
          </cell>
          <cell r="AC256">
            <v>19890</v>
          </cell>
          <cell r="AJ256">
            <v>17000</v>
          </cell>
        </row>
        <row r="257">
          <cell r="B257">
            <v>2099</v>
          </cell>
          <cell r="C257" t="str">
            <v>Hitachi</v>
          </cell>
          <cell r="D257" t="str">
            <v>Assets Shifting</v>
          </cell>
          <cell r="E257" t="str">
            <v>MCRM9039</v>
          </cell>
          <cell r="F257">
            <v>45904</v>
          </cell>
          <cell r="G257" t="str">
            <v>SSS/2025-26/093</v>
          </cell>
          <cell r="H257" t="str">
            <v>Str8 &amp; Secure Services</v>
          </cell>
          <cell r="I257" t="str">
            <v>AQIPG2144B</v>
          </cell>
          <cell r="J257" t="str">
            <v>07AQIPG2144B1ZF</v>
          </cell>
          <cell r="K257" t="str">
            <v>Shop No.2, Near Lodhi Hospital, Bandikui Road, Sikandra, Tehsil-Sikrai, Dist.-Dausa, Rajasthan, Pin Code-303326</v>
          </cell>
          <cell r="L257" t="str">
            <v>Rajasthan</v>
          </cell>
          <cell r="M257" t="str">
            <v>Plot no 123, Sector 56 Phase IV, Industrial estate, kundli sonipat, sonipat, Haryana, 131028</v>
          </cell>
          <cell r="N257" t="str">
            <v>Haryana</v>
          </cell>
          <cell r="O257" t="str">
            <v>Assets Shifting</v>
          </cell>
          <cell r="P257">
            <v>22000</v>
          </cell>
          <cell r="Q257">
            <v>0</v>
          </cell>
          <cell r="R257">
            <v>0</v>
          </cell>
          <cell r="S257">
            <v>0</v>
          </cell>
          <cell r="T257">
            <v>3960</v>
          </cell>
          <cell r="U257">
            <v>0</v>
          </cell>
          <cell r="V257">
            <v>25960</v>
          </cell>
          <cell r="W257">
            <v>220</v>
          </cell>
          <cell r="X257">
            <v>0.01</v>
          </cell>
          <cell r="Y257">
            <v>25740</v>
          </cell>
          <cell r="AC257">
            <v>25740</v>
          </cell>
          <cell r="AJ257">
            <v>22000</v>
          </cell>
        </row>
        <row r="258">
          <cell r="B258">
            <v>2107</v>
          </cell>
          <cell r="C258" t="str">
            <v>NCR-Hari</v>
          </cell>
          <cell r="D258" t="str">
            <v>Assets Shifting</v>
          </cell>
          <cell r="E258" t="str">
            <v>6BSAYAJI03</v>
          </cell>
          <cell r="F258">
            <v>45904</v>
          </cell>
          <cell r="G258" t="str">
            <v>SSS/2025-26/097</v>
          </cell>
          <cell r="H258" t="str">
            <v>Str8 &amp; Secure Services</v>
          </cell>
          <cell r="I258" t="str">
            <v>AQIPG2144B</v>
          </cell>
          <cell r="J258" t="str">
            <v>07AQIPG2144B1ZF</v>
          </cell>
          <cell r="K258" t="str">
            <v>SAYAJI  YASH KAMAL BUILDING  LOKMANYA TILAK ROAD  SAYAJIGUNG  BARODA  GUJARAT  PIN-390005</v>
          </cell>
          <cell r="L258" t="str">
            <v>Gujarat</v>
          </cell>
          <cell r="M258" t="str">
            <v>SAYAJI  YASH KAMAL BUILDING  LOKMANYA TILAK ROAD  SAYAJIGUNG  BARODA  GUJARAT  PIN-390005 ( Insite the Branch )</v>
          </cell>
          <cell r="N258" t="str">
            <v>Gujarat</v>
          </cell>
          <cell r="O258" t="str">
            <v>Assets Shifting</v>
          </cell>
          <cell r="P258">
            <v>3500</v>
          </cell>
          <cell r="Q258">
            <v>0</v>
          </cell>
          <cell r="R258">
            <v>0</v>
          </cell>
          <cell r="S258">
            <v>0</v>
          </cell>
          <cell r="T258">
            <v>630</v>
          </cell>
          <cell r="U258">
            <v>0</v>
          </cell>
          <cell r="V258">
            <v>4130</v>
          </cell>
          <cell r="W258">
            <v>35</v>
          </cell>
          <cell r="X258">
            <v>0.01</v>
          </cell>
          <cell r="Y258">
            <v>4095</v>
          </cell>
          <cell r="AC258">
            <v>4095</v>
          </cell>
          <cell r="AJ258">
            <v>3500</v>
          </cell>
        </row>
        <row r="259">
          <cell r="B259">
            <v>2108</v>
          </cell>
          <cell r="C259" t="str">
            <v>NCR-Hari</v>
          </cell>
          <cell r="D259" t="str">
            <v>Assets Shifting</v>
          </cell>
          <cell r="E259" t="str">
            <v>6BSAYAJI04</v>
          </cell>
          <cell r="F259">
            <v>45904</v>
          </cell>
          <cell r="G259" t="str">
            <v>SSS/2025-26/097</v>
          </cell>
          <cell r="H259" t="str">
            <v>Str8 &amp; Secure Services</v>
          </cell>
          <cell r="I259" t="str">
            <v>AQIPG2144B</v>
          </cell>
          <cell r="J259" t="str">
            <v>07AQIPG2144B1ZF</v>
          </cell>
          <cell r="K259" t="str">
            <v>SAYAJI  YASH KAMAL BUILDING  LOKMANYA TILAK ROAD  SAYAJIGUNG  BARODA  GUJARAT  PIN-390005</v>
          </cell>
          <cell r="L259" t="str">
            <v>Gujarat</v>
          </cell>
          <cell r="M259" t="str">
            <v>SAYAJI  YASH KAMAL BUILDING  LOKMANYA TILAK ROAD  SAYAJIGUNG  BARODA  GUJARAT  PIN-390005 ( Insite the Branch )</v>
          </cell>
          <cell r="N259" t="str">
            <v>Gujarat</v>
          </cell>
          <cell r="O259" t="str">
            <v>Assets Shifting</v>
          </cell>
          <cell r="P259">
            <v>3500</v>
          </cell>
          <cell r="Q259">
            <v>0</v>
          </cell>
          <cell r="R259">
            <v>0</v>
          </cell>
          <cell r="S259">
            <v>0</v>
          </cell>
          <cell r="T259">
            <v>630</v>
          </cell>
          <cell r="U259">
            <v>0</v>
          </cell>
          <cell r="V259">
            <v>4130</v>
          </cell>
          <cell r="W259">
            <v>35</v>
          </cell>
          <cell r="X259">
            <v>0.01</v>
          </cell>
          <cell r="Y259">
            <v>4095</v>
          </cell>
          <cell r="AC259">
            <v>4095</v>
          </cell>
          <cell r="AJ259">
            <v>3500</v>
          </cell>
        </row>
        <row r="260">
          <cell r="B260" t="str">
            <v>UNV</v>
          </cell>
          <cell r="C260" t="str">
            <v>UNV</v>
          </cell>
          <cell r="D260" t="str">
            <v>Assets Shifting</v>
          </cell>
          <cell r="E260" t="str">
            <v>MCRM0880</v>
          </cell>
          <cell r="F260">
            <v>45904</v>
          </cell>
          <cell r="G260" t="str">
            <v>SSS/2025-26/0102</v>
          </cell>
          <cell r="H260" t="str">
            <v>Str8 &amp; Secure Services</v>
          </cell>
          <cell r="I260" t="str">
            <v>AQIPG2144B</v>
          </cell>
          <cell r="J260" t="str">
            <v>07AQIPG2144B1ZF</v>
          </cell>
          <cell r="K260" t="str">
            <v>Near Bank Of India, Khatraj Circle, Mehmdavad Dist- Kheda Gujrat 387130</v>
          </cell>
          <cell r="L260" t="str">
            <v>Gujarat</v>
          </cell>
          <cell r="M260" t="str">
            <v>Kishore Bagai Transport, l-2 Jai Mata Di Compound , 2nd left next to Hetvi Textile, Kalher Bhiwandi, Maharashtra - 421302</v>
          </cell>
          <cell r="N260" t="str">
            <v>Maharashtra</v>
          </cell>
          <cell r="O260" t="str">
            <v>Assets Shifting</v>
          </cell>
          <cell r="P260">
            <v>19000</v>
          </cell>
          <cell r="Q260">
            <v>0</v>
          </cell>
          <cell r="R260">
            <v>0</v>
          </cell>
          <cell r="S260">
            <v>0</v>
          </cell>
          <cell r="T260">
            <v>3420</v>
          </cell>
          <cell r="U260">
            <v>0</v>
          </cell>
          <cell r="V260">
            <v>22420</v>
          </cell>
          <cell r="W260">
            <v>190</v>
          </cell>
          <cell r="X260">
            <v>0.01</v>
          </cell>
          <cell r="Y260">
            <v>22230</v>
          </cell>
          <cell r="AC260">
            <v>22230</v>
          </cell>
          <cell r="AJ260">
            <v>19000</v>
          </cell>
        </row>
        <row r="261">
          <cell r="B261">
            <v>2116</v>
          </cell>
          <cell r="C261" t="str">
            <v>Hitachi</v>
          </cell>
          <cell r="D261" t="str">
            <v>Assets Shifting</v>
          </cell>
          <cell r="E261" t="str">
            <v>S1CPS264</v>
          </cell>
          <cell r="F261">
            <v>45904</v>
          </cell>
          <cell r="G261" t="str">
            <v>SSS/2025-26/093</v>
          </cell>
          <cell r="H261" t="str">
            <v>Str8 &amp; Secure Services</v>
          </cell>
          <cell r="I261" t="str">
            <v>AQIPG2144B</v>
          </cell>
          <cell r="J261" t="str">
            <v>07AQIPG2144B1ZF</v>
          </cell>
          <cell r="K261" t="str">
            <v>Icici Bank Atm Shop No.A-1, Premsagar Housing Society, Opp Axis Bank, Chinchwad, Pune - 411033</v>
          </cell>
          <cell r="L261" t="str">
            <v>Maharashtra</v>
          </cell>
          <cell r="M261" t="str">
            <v>Plot no 123, Sector 56 Phase IV, Industrial estate, kundli sonipat, sonipat, Haryana, 131028</v>
          </cell>
          <cell r="N261" t="str">
            <v>Haryana</v>
          </cell>
          <cell r="O261" t="str">
            <v>Assets Shifting</v>
          </cell>
          <cell r="P261">
            <v>22000</v>
          </cell>
          <cell r="Q261">
            <v>0</v>
          </cell>
          <cell r="R261">
            <v>0</v>
          </cell>
          <cell r="S261">
            <v>0</v>
          </cell>
          <cell r="T261">
            <v>3960</v>
          </cell>
          <cell r="U261">
            <v>0</v>
          </cell>
          <cell r="V261">
            <v>25960</v>
          </cell>
          <cell r="W261">
            <v>220</v>
          </cell>
          <cell r="X261">
            <v>0.01</v>
          </cell>
          <cell r="Y261">
            <v>25740</v>
          </cell>
          <cell r="AC261">
            <v>25740</v>
          </cell>
          <cell r="AJ261">
            <v>22000</v>
          </cell>
        </row>
        <row r="262">
          <cell r="B262">
            <v>2126</v>
          </cell>
          <cell r="C262" t="str">
            <v>NCR-Umesh</v>
          </cell>
          <cell r="D262" t="str">
            <v>Assets Shifting</v>
          </cell>
          <cell r="E262" t="str">
            <v>MPB00961</v>
          </cell>
          <cell r="F262">
            <v>45904</v>
          </cell>
          <cell r="G262" t="str">
            <v>SSS/2025-26/0101</v>
          </cell>
          <cell r="H262" t="str">
            <v>Str8 &amp; Secure Services</v>
          </cell>
          <cell r="I262" t="str">
            <v>AQIPG2144B</v>
          </cell>
          <cell r="J262" t="str">
            <v>07AQIPG2144B1ZF</v>
          </cell>
          <cell r="K262" t="str">
            <v>SABARDAIRY, CHILODA ROAD HIMMATNAGAR</v>
          </cell>
          <cell r="L262" t="str">
            <v>Gujarat</v>
          </cell>
          <cell r="M262" t="str">
            <v>Kishore Bagai Transport, l-2 Jai Mata Di Compound , 2nd left next to Hetvi Textile, Kalher Bhiwandi, Maharashtra - 421302</v>
          </cell>
          <cell r="N262" t="str">
            <v>Maharashtra</v>
          </cell>
          <cell r="O262" t="str">
            <v>Assets Shifting</v>
          </cell>
          <cell r="P262">
            <v>2000</v>
          </cell>
          <cell r="Q262">
            <v>0</v>
          </cell>
          <cell r="R262">
            <v>0</v>
          </cell>
          <cell r="S262">
            <v>0</v>
          </cell>
          <cell r="T262">
            <v>360</v>
          </cell>
          <cell r="U262">
            <v>0</v>
          </cell>
          <cell r="V262">
            <v>2360</v>
          </cell>
          <cell r="W262">
            <v>20</v>
          </cell>
          <cell r="X262">
            <v>0.01</v>
          </cell>
          <cell r="Y262">
            <v>2340</v>
          </cell>
          <cell r="AC262">
            <v>2340</v>
          </cell>
          <cell r="AJ262">
            <v>2000</v>
          </cell>
        </row>
        <row r="263">
          <cell r="B263">
            <v>2133</v>
          </cell>
          <cell r="C263" t="str">
            <v>NCR-Umesh</v>
          </cell>
          <cell r="D263" t="str">
            <v>Assets Shifting</v>
          </cell>
          <cell r="E263" t="str">
            <v>MPZ15451</v>
          </cell>
          <cell r="F263">
            <v>45904</v>
          </cell>
          <cell r="G263" t="str">
            <v>SSS/2025-26/0100</v>
          </cell>
          <cell r="H263" t="str">
            <v>Str8 &amp; Secure Services</v>
          </cell>
          <cell r="I263" t="str">
            <v>AQIPG2144B</v>
          </cell>
          <cell r="J263" t="str">
            <v>07AQIPG2144B1ZF</v>
          </cell>
          <cell r="K263" t="str">
            <v>SHOP N0-1,BALAUR ROAD,KILLA MOHALLA,BAHADURGARH</v>
          </cell>
          <cell r="L263" t="str">
            <v>Haryana</v>
          </cell>
          <cell r="M263" t="str">
            <v>Plot no 123, Sector 56 Phase IV, Industrial estate, kundli sonipat, sonipat, Haryana, 131028</v>
          </cell>
          <cell r="N263" t="str">
            <v>Haryana</v>
          </cell>
          <cell r="O263" t="str">
            <v>Assets Shifting</v>
          </cell>
          <cell r="P263">
            <v>15000</v>
          </cell>
          <cell r="Q263">
            <v>0</v>
          </cell>
          <cell r="R263">
            <v>0</v>
          </cell>
          <cell r="S263">
            <v>0</v>
          </cell>
          <cell r="T263">
            <v>2700</v>
          </cell>
          <cell r="U263">
            <v>0</v>
          </cell>
          <cell r="V263">
            <v>17700</v>
          </cell>
          <cell r="W263">
            <v>150</v>
          </cell>
          <cell r="X263">
            <v>0.01</v>
          </cell>
          <cell r="Y263">
            <v>17550</v>
          </cell>
          <cell r="AC263">
            <v>17550</v>
          </cell>
          <cell r="AJ263">
            <v>15000</v>
          </cell>
        </row>
        <row r="264">
          <cell r="B264">
            <v>2126</v>
          </cell>
          <cell r="C264" t="str">
            <v>NCR-Umesh</v>
          </cell>
          <cell r="D264" t="str">
            <v>Assets Shifting</v>
          </cell>
          <cell r="E264" t="str">
            <v>MPB00961</v>
          </cell>
          <cell r="F264">
            <v>45904</v>
          </cell>
          <cell r="G264" t="str">
            <v>SSS/2025-26/0101</v>
          </cell>
          <cell r="H264" t="str">
            <v>Str8 &amp; Secure Services</v>
          </cell>
          <cell r="I264" t="str">
            <v>AQIPG2144B</v>
          </cell>
          <cell r="J264" t="str">
            <v>07AQIPG2144B1ZF</v>
          </cell>
          <cell r="K264" t="str">
            <v>SABARDAIRY, CHILODA ROAD HIMMATNAGAR</v>
          </cell>
          <cell r="L264" t="str">
            <v>Gujarat</v>
          </cell>
          <cell r="M264" t="str">
            <v>Kishore Bagai Transport, l-2 Jai Mata Di Compound , 2nd left next to Hetvi Textile, Kalher Bhiwandi, Maharashtra - 421302</v>
          </cell>
          <cell r="N264" t="str">
            <v>Maharashtra</v>
          </cell>
          <cell r="O264" t="str">
            <v>Assets Shifting</v>
          </cell>
          <cell r="P264">
            <v>2000</v>
          </cell>
          <cell r="Q264">
            <v>0</v>
          </cell>
          <cell r="R264">
            <v>0</v>
          </cell>
          <cell r="S264">
            <v>0</v>
          </cell>
          <cell r="T264">
            <v>360</v>
          </cell>
          <cell r="U264">
            <v>0</v>
          </cell>
          <cell r="V264">
            <v>2360</v>
          </cell>
          <cell r="W264">
            <v>20</v>
          </cell>
          <cell r="X264">
            <v>0.01</v>
          </cell>
          <cell r="Y264">
            <v>2340</v>
          </cell>
          <cell r="AC264">
            <v>2340</v>
          </cell>
          <cell r="AJ264">
            <v>2000</v>
          </cell>
        </row>
        <row r="265">
          <cell r="B265">
            <v>2129</v>
          </cell>
          <cell r="C265" t="str">
            <v>Hitachi</v>
          </cell>
          <cell r="D265" t="str">
            <v>Assets Shifting</v>
          </cell>
          <cell r="E265" t="str">
            <v>MCRM6014</v>
          </cell>
          <cell r="F265">
            <v>45904</v>
          </cell>
          <cell r="G265" t="str">
            <v>SSS/2025-26/094</v>
          </cell>
          <cell r="H265" t="str">
            <v>Str8 &amp; Secure Services</v>
          </cell>
          <cell r="I265" t="str">
            <v>AQIPG2144B</v>
          </cell>
          <cell r="J265" t="str">
            <v>07AQIPG2144B1ZF</v>
          </cell>
          <cell r="K265" t="str">
            <v>At- Vagda,Near Bus Stand , Vadgam Road,Vagda,Palanpur</v>
          </cell>
          <cell r="L265" t="str">
            <v>Gujarat</v>
          </cell>
          <cell r="M265" t="str">
            <v>Plot no 123, Sector 56 Phase IV, Industrial estate, kundli sonipat, sonipat, Haryana, 131028</v>
          </cell>
          <cell r="N265" t="str">
            <v>Haryana</v>
          </cell>
          <cell r="O265" t="str">
            <v>Assets Shifting</v>
          </cell>
          <cell r="P265">
            <v>22000</v>
          </cell>
          <cell r="Q265">
            <v>0</v>
          </cell>
          <cell r="R265">
            <v>0</v>
          </cell>
          <cell r="S265">
            <v>0</v>
          </cell>
          <cell r="T265">
            <v>3960</v>
          </cell>
          <cell r="U265">
            <v>0</v>
          </cell>
          <cell r="V265">
            <v>25960</v>
          </cell>
          <cell r="W265">
            <v>220</v>
          </cell>
          <cell r="X265">
            <v>0.01</v>
          </cell>
          <cell r="Y265">
            <v>25740</v>
          </cell>
          <cell r="AC265">
            <v>25740</v>
          </cell>
          <cell r="AJ265">
            <v>22000</v>
          </cell>
        </row>
        <row r="266">
          <cell r="B266">
            <v>2136</v>
          </cell>
          <cell r="C266" t="str">
            <v>NCR-Umesh</v>
          </cell>
          <cell r="D266" t="str">
            <v>Assets Shifting</v>
          </cell>
          <cell r="E266" t="str">
            <v>MPZ08777</v>
          </cell>
          <cell r="F266">
            <v>45904</v>
          </cell>
          <cell r="G266" t="str">
            <v>SSS/2025-26/0100</v>
          </cell>
          <cell r="H266" t="str">
            <v>Str8 &amp; Secure Services</v>
          </cell>
          <cell r="I266" t="str">
            <v>AQIPG2144B</v>
          </cell>
          <cell r="J266" t="str">
            <v>07AQIPG2144B1ZF</v>
          </cell>
          <cell r="K266" t="str">
            <v>Bus Stand, Shivraj Colony Diggi Road Madrampura Bypass Madrampura Saganer Jaipur, Rajasthan 302029</v>
          </cell>
          <cell r="L266" t="str">
            <v>Rajasthan</v>
          </cell>
          <cell r="M266" t="str">
            <v>Plot no 123, Sector 56 Phase IV, Industrial estate, kundli sonipat, sonipat, Haryana, 131028</v>
          </cell>
          <cell r="N266" t="str">
            <v>Haryana</v>
          </cell>
          <cell r="O266" t="str">
            <v>Assets Shifting</v>
          </cell>
          <cell r="P266">
            <v>19000</v>
          </cell>
          <cell r="Q266">
            <v>0</v>
          </cell>
          <cell r="R266">
            <v>0</v>
          </cell>
          <cell r="S266">
            <v>0</v>
          </cell>
          <cell r="T266">
            <v>3420</v>
          </cell>
          <cell r="U266">
            <v>0</v>
          </cell>
          <cell r="V266">
            <v>22420</v>
          </cell>
          <cell r="W266">
            <v>190</v>
          </cell>
          <cell r="X266">
            <v>0.01</v>
          </cell>
          <cell r="Y266">
            <v>22230</v>
          </cell>
          <cell r="AC266">
            <v>22230</v>
          </cell>
          <cell r="AJ266">
            <v>19000</v>
          </cell>
        </row>
        <row r="267">
          <cell r="B267">
            <v>2137</v>
          </cell>
          <cell r="C267" t="str">
            <v>NCR-Umesh</v>
          </cell>
          <cell r="D267" t="str">
            <v>Assets Shifting</v>
          </cell>
          <cell r="E267" t="str">
            <v>MCRM3628</v>
          </cell>
          <cell r="F267">
            <v>45904</v>
          </cell>
          <cell r="G267" t="str">
            <v>SSS/2025-26/0100</v>
          </cell>
          <cell r="H267" t="str">
            <v>Str8 &amp; Secure Services</v>
          </cell>
          <cell r="I267" t="str">
            <v>AQIPG2144B</v>
          </cell>
          <cell r="J267" t="str">
            <v>07AQIPG2144B1ZF</v>
          </cell>
          <cell r="K267" t="str">
            <v>C/O Kaniram,Sh-37,Near Bypass Main Circle,Baragaon,V.P.O-Baragaon,Distt-Jhunjhunu,Rajasthan-333021</v>
          </cell>
          <cell r="L267" t="str">
            <v>Rajasthan</v>
          </cell>
          <cell r="M267" t="str">
            <v>Plot no 123, Sector 56 Phase IV, Industrial estate, kundli sonipat, sonipat, Haryana, 131028</v>
          </cell>
          <cell r="N267" t="str">
            <v>Haryana</v>
          </cell>
          <cell r="O267" t="str">
            <v>Assets Shifting</v>
          </cell>
          <cell r="P267">
            <v>20000</v>
          </cell>
          <cell r="Q267">
            <v>0</v>
          </cell>
          <cell r="R267">
            <v>0</v>
          </cell>
          <cell r="S267">
            <v>0</v>
          </cell>
          <cell r="T267">
            <v>3600</v>
          </cell>
          <cell r="U267">
            <v>0</v>
          </cell>
          <cell r="V267">
            <v>23600</v>
          </cell>
          <cell r="W267">
            <v>200</v>
          </cell>
          <cell r="X267">
            <v>0.01</v>
          </cell>
          <cell r="Y267">
            <v>23400</v>
          </cell>
          <cell r="AC267">
            <v>23400</v>
          </cell>
          <cell r="AJ267">
            <v>20000</v>
          </cell>
        </row>
        <row r="268">
          <cell r="B268">
            <v>2146</v>
          </cell>
          <cell r="C268" t="str">
            <v>NCR-Umesh</v>
          </cell>
          <cell r="D268" t="str">
            <v>Assets Shifting</v>
          </cell>
          <cell r="E268" t="str">
            <v>MPB02213</v>
          </cell>
          <cell r="F268">
            <v>45904</v>
          </cell>
          <cell r="G268" t="str">
            <v>SSS/2025-26/0100</v>
          </cell>
          <cell r="H268" t="str">
            <v>Str8 &amp; Secure Services</v>
          </cell>
          <cell r="I268" t="str">
            <v>AQIPG2144B</v>
          </cell>
          <cell r="J268" t="str">
            <v>07AQIPG2144B1ZF</v>
          </cell>
          <cell r="K268" t="str">
            <v>Main Baran-Kota Road, Near Hanuman Ji Temple, Nayanohra ,Kota</v>
          </cell>
          <cell r="L268" t="str">
            <v>Rajasthan</v>
          </cell>
          <cell r="M268" t="str">
            <v>Plot no 123, Sector 56 Phase IV, Industrial estate, kundli sonipat, sonipat, Haryana, 131028</v>
          </cell>
          <cell r="N268" t="str">
            <v>Haryana</v>
          </cell>
          <cell r="O268" t="str">
            <v>Assets Shifting</v>
          </cell>
          <cell r="P268">
            <v>19000</v>
          </cell>
          <cell r="Q268">
            <v>0</v>
          </cell>
          <cell r="R268">
            <v>0</v>
          </cell>
          <cell r="S268">
            <v>0</v>
          </cell>
          <cell r="T268">
            <v>3420</v>
          </cell>
          <cell r="U268">
            <v>0</v>
          </cell>
          <cell r="V268">
            <v>22420</v>
          </cell>
          <cell r="W268">
            <v>190</v>
          </cell>
          <cell r="X268">
            <v>0.01</v>
          </cell>
          <cell r="Y268">
            <v>22230</v>
          </cell>
          <cell r="AC268">
            <v>22230</v>
          </cell>
          <cell r="AJ268">
            <v>19000</v>
          </cell>
        </row>
        <row r="269">
          <cell r="B269">
            <v>2145</v>
          </cell>
          <cell r="C269" t="str">
            <v>NCR-Umesh</v>
          </cell>
          <cell r="D269" t="str">
            <v>Assets Shifting</v>
          </cell>
          <cell r="E269" t="str">
            <v>MPZ10123</v>
          </cell>
          <cell r="F269">
            <v>45904</v>
          </cell>
          <cell r="G269" t="str">
            <v>SSS/2025-26/0100</v>
          </cell>
          <cell r="H269" t="str">
            <v>Str8 &amp; Secure Services</v>
          </cell>
          <cell r="I269" t="str">
            <v>AQIPG2144B</v>
          </cell>
          <cell r="J269" t="str">
            <v>07AQIPG2144B1ZF</v>
          </cell>
          <cell r="K269" t="str">
            <v>Shop No 1, Plot No 2, Yogiraj Nagar, Coral Park, Nayanohra, Kota - 324001</v>
          </cell>
          <cell r="L269" t="str">
            <v>Rajasthan</v>
          </cell>
          <cell r="M269" t="str">
            <v>Plot no 123, Sector 56 Phase IV, Industrial estate, kundli sonipat, sonipat, Haryana, 131028</v>
          </cell>
          <cell r="N269" t="str">
            <v>Haryana</v>
          </cell>
          <cell r="O269" t="str">
            <v>Assets Shifting</v>
          </cell>
          <cell r="P269">
            <v>19000</v>
          </cell>
          <cell r="Q269">
            <v>0</v>
          </cell>
          <cell r="R269">
            <v>0</v>
          </cell>
          <cell r="S269">
            <v>0</v>
          </cell>
          <cell r="T269">
            <v>3420</v>
          </cell>
          <cell r="U269">
            <v>0</v>
          </cell>
          <cell r="V269">
            <v>22420</v>
          </cell>
          <cell r="W269">
            <v>190</v>
          </cell>
          <cell r="X269">
            <v>0.01</v>
          </cell>
          <cell r="Y269">
            <v>22230</v>
          </cell>
          <cell r="AC269">
            <v>22230</v>
          </cell>
          <cell r="AJ269">
            <v>19000</v>
          </cell>
        </row>
        <row r="270">
          <cell r="B270">
            <v>2013</v>
          </cell>
          <cell r="C270" t="str">
            <v>Hitachi</v>
          </cell>
          <cell r="D270" t="str">
            <v>Assets Shifting</v>
          </cell>
          <cell r="E270" t="str">
            <v>MPZ12634</v>
          </cell>
          <cell r="F270">
            <v>45936</v>
          </cell>
          <cell r="G270" t="str">
            <v>SSS/2025-26/0107</v>
          </cell>
          <cell r="H270" t="str">
            <v>Str8 &amp; Secure Services</v>
          </cell>
          <cell r="I270" t="str">
            <v>AQIPG2144B</v>
          </cell>
          <cell r="J270" t="str">
            <v>07AQIPG2144B1ZF</v>
          </cell>
          <cell r="K270" t="str">
            <v>Saket Nagar, NCR Colony Harwara, Dhoomanganj Allahabad</v>
          </cell>
          <cell r="L270" t="str">
            <v>Uttar Pradesh</v>
          </cell>
          <cell r="M270" t="str">
            <v>Plot no 123, Sector 56 Phase IV, Industrial estate, kundli sonipat, sonipat, Haryana, 131028</v>
          </cell>
          <cell r="N270" t="str">
            <v>Haryana</v>
          </cell>
          <cell r="O270" t="str">
            <v>Assets Shifting</v>
          </cell>
          <cell r="P270">
            <v>19000</v>
          </cell>
          <cell r="Q270">
            <v>0</v>
          </cell>
          <cell r="R270">
            <v>0</v>
          </cell>
          <cell r="S270">
            <v>0</v>
          </cell>
          <cell r="T270">
            <v>3420</v>
          </cell>
          <cell r="U270">
            <v>0</v>
          </cell>
          <cell r="V270">
            <v>22420</v>
          </cell>
          <cell r="W270">
            <v>190</v>
          </cell>
          <cell r="X270">
            <v>0.01</v>
          </cell>
          <cell r="Y270">
            <v>22230</v>
          </cell>
          <cell r="AC270">
            <v>22230</v>
          </cell>
          <cell r="AJ270">
            <v>19000</v>
          </cell>
        </row>
        <row r="271">
          <cell r="B271">
            <v>1893</v>
          </cell>
          <cell r="C271" t="str">
            <v>NCR-Umesh</v>
          </cell>
          <cell r="D271" t="str">
            <v>Assets Shifting</v>
          </cell>
          <cell r="E271" t="str">
            <v>MPZ02520</v>
          </cell>
          <cell r="F271">
            <v>45936</v>
          </cell>
          <cell r="G271" t="str">
            <v>SSS/2025-26/0112</v>
          </cell>
          <cell r="H271" t="str">
            <v>Str8 &amp; Secure Services</v>
          </cell>
          <cell r="I271" t="str">
            <v>AQIPG2144B</v>
          </cell>
          <cell r="J271" t="str">
            <v>07AQIPG2144B1ZF</v>
          </cell>
          <cell r="K271" t="str">
            <v>Delhi WH</v>
          </cell>
          <cell r="L271" t="str">
            <v>Delhi</v>
          </cell>
          <cell r="M271" t="str">
            <v xml:space="preserve">The Nainital Bank Ltd.4, Jagrati Enclave, Vikas Marg Extension, New Delhi- 110092 </v>
          </cell>
          <cell r="N271" t="str">
            <v>Delhi</v>
          </cell>
          <cell r="O271" t="str">
            <v>Assets Shifting</v>
          </cell>
          <cell r="P271">
            <v>3500</v>
          </cell>
          <cell r="Q271">
            <v>0</v>
          </cell>
          <cell r="R271">
            <v>0</v>
          </cell>
          <cell r="S271">
            <v>0</v>
          </cell>
          <cell r="T271">
            <v>630</v>
          </cell>
          <cell r="U271">
            <v>0</v>
          </cell>
          <cell r="V271">
            <v>4130</v>
          </cell>
          <cell r="W271">
            <v>35</v>
          </cell>
          <cell r="X271">
            <v>0.01</v>
          </cell>
          <cell r="Y271">
            <v>4095</v>
          </cell>
          <cell r="AC271">
            <v>4095</v>
          </cell>
          <cell r="AJ271">
            <v>3500</v>
          </cell>
        </row>
        <row r="272">
          <cell r="B272">
            <v>2117</v>
          </cell>
          <cell r="C272" t="str">
            <v>Hitachi</v>
          </cell>
          <cell r="D272" t="str">
            <v>Assets Shifting</v>
          </cell>
          <cell r="E272" t="str">
            <v>S1HPM914</v>
          </cell>
          <cell r="F272">
            <v>45936</v>
          </cell>
          <cell r="G272" t="str">
            <v>SSS/2025-26/0106</v>
          </cell>
          <cell r="H272" t="str">
            <v>Str8 &amp; Secure Services</v>
          </cell>
          <cell r="I272" t="str">
            <v>AQIPG2144B</v>
          </cell>
          <cell r="J272" t="str">
            <v>07AQIPG2144B1ZF</v>
          </cell>
          <cell r="K272" t="str">
            <v>ICICI BANK ATM Aksha Mobile Shop Val meek Chawl Wadar Pada Rd 2 Hanuman Nagar Kandivali East Mumbai</v>
          </cell>
          <cell r="L272" t="str">
            <v>Maharashtra</v>
          </cell>
          <cell r="M272" t="str">
            <v>Plot no 123, Sector 56 Phase IV, Industrial estate, kundli sonipat, sonipat, Haryana, 131028</v>
          </cell>
          <cell r="N272" t="str">
            <v>Haryana</v>
          </cell>
          <cell r="O272" t="str">
            <v>Assets Shifting</v>
          </cell>
          <cell r="P272">
            <v>21000</v>
          </cell>
          <cell r="Q272">
            <v>0</v>
          </cell>
          <cell r="R272">
            <v>0</v>
          </cell>
          <cell r="S272">
            <v>0</v>
          </cell>
          <cell r="T272">
            <v>3780</v>
          </cell>
          <cell r="U272">
            <v>0</v>
          </cell>
          <cell r="V272">
            <v>24780</v>
          </cell>
          <cell r="W272">
            <v>210</v>
          </cell>
          <cell r="X272">
            <v>0.01</v>
          </cell>
          <cell r="Y272">
            <v>24570</v>
          </cell>
          <cell r="AC272">
            <v>24570</v>
          </cell>
          <cell r="AJ272">
            <v>21000</v>
          </cell>
        </row>
        <row r="273">
          <cell r="B273">
            <v>2130</v>
          </cell>
          <cell r="C273" t="str">
            <v>NCR-Hari</v>
          </cell>
          <cell r="D273" t="str">
            <v>Assets Shifting</v>
          </cell>
          <cell r="E273" t="str">
            <v>6NKADIRP01</v>
          </cell>
          <cell r="F273">
            <v>45936</v>
          </cell>
          <cell r="G273" t="str">
            <v>SSS/2025-26/0109</v>
          </cell>
          <cell r="H273" t="str">
            <v>Str8 &amp; Secure Services</v>
          </cell>
          <cell r="I273" t="str">
            <v>AQIPG2144B</v>
          </cell>
          <cell r="J273" t="str">
            <v>07AQIPG2144B1ZF</v>
          </cell>
          <cell r="K273" t="str">
            <v>KADIRP  Kadilpur Tehsil Sadar  Inguwa Katagaon  Allahabad  Uttar Pradesh  Pin-212202</v>
          </cell>
          <cell r="L273" t="str">
            <v>Uttar Pradesh</v>
          </cell>
          <cell r="M273" t="str">
            <v>KADIRP  Kadilpur Tehsil Sadar  Inguwa Katagaon  Allahabad  Uttar Pradesh  Pin-212202 ( Insite the Branch )</v>
          </cell>
          <cell r="N273" t="str">
            <v>Uttar Pradesh</v>
          </cell>
          <cell r="O273" t="str">
            <v>Assets Shifting</v>
          </cell>
          <cell r="P273">
            <v>3500</v>
          </cell>
          <cell r="Q273">
            <v>0</v>
          </cell>
          <cell r="R273">
            <v>0</v>
          </cell>
          <cell r="S273">
            <v>0</v>
          </cell>
          <cell r="T273">
            <v>630</v>
          </cell>
          <cell r="U273">
            <v>0</v>
          </cell>
          <cell r="V273">
            <v>4130</v>
          </cell>
          <cell r="W273">
            <v>35</v>
          </cell>
          <cell r="X273">
            <v>0.01</v>
          </cell>
          <cell r="Y273">
            <v>4095</v>
          </cell>
          <cell r="AC273">
            <v>4095</v>
          </cell>
          <cell r="AJ273">
            <v>3500</v>
          </cell>
        </row>
        <row r="274">
          <cell r="B274">
            <v>2131</v>
          </cell>
          <cell r="C274" t="str">
            <v>NCR-Hari</v>
          </cell>
          <cell r="D274" t="str">
            <v>Assets Shifting</v>
          </cell>
          <cell r="E274" t="str">
            <v>6NKADIRP01</v>
          </cell>
          <cell r="F274">
            <v>45936</v>
          </cell>
          <cell r="G274" t="str">
            <v>SSS/2025-26/0109</v>
          </cell>
          <cell r="H274" t="str">
            <v>Str8 &amp; Secure Services</v>
          </cell>
          <cell r="I274" t="str">
            <v>AQIPG2144B</v>
          </cell>
          <cell r="J274" t="str">
            <v>07AQIPG2144B1ZF</v>
          </cell>
          <cell r="K274" t="str">
            <v>KADIRP  Kadilpur Tehsil Sadar  Inguwa Katagaon  Allahabad  Uttar Pradesh  Pin-212202</v>
          </cell>
          <cell r="L274" t="str">
            <v>Uttar Pradesh</v>
          </cell>
          <cell r="M274" t="str">
            <v>GROUND FLOOR,SAI ANAND BUILDING,NEAR VIVEKANAND CHOWK,KHUTWARD NAGAR, NASHIK</v>
          </cell>
          <cell r="N274" t="str">
            <v>Maharashtra</v>
          </cell>
          <cell r="O274" t="str">
            <v>Assets Shifting</v>
          </cell>
          <cell r="P274">
            <v>5500</v>
          </cell>
          <cell r="Q274">
            <v>0</v>
          </cell>
          <cell r="R274">
            <v>0</v>
          </cell>
          <cell r="S274">
            <v>0</v>
          </cell>
          <cell r="T274">
            <v>990</v>
          </cell>
          <cell r="U274">
            <v>0</v>
          </cell>
          <cell r="V274">
            <v>6490</v>
          </cell>
          <cell r="W274">
            <v>55</v>
          </cell>
          <cell r="X274">
            <v>0.01</v>
          </cell>
          <cell r="Y274">
            <v>6435</v>
          </cell>
          <cell r="AC274">
            <v>6435</v>
          </cell>
          <cell r="AJ274">
            <v>5500</v>
          </cell>
        </row>
        <row r="275">
          <cell r="B275">
            <v>2134</v>
          </cell>
          <cell r="C275" t="str">
            <v>NCR-Hari</v>
          </cell>
          <cell r="D275" t="str">
            <v>Assets Shifting</v>
          </cell>
          <cell r="E275" t="str">
            <v>6NSADABA01</v>
          </cell>
          <cell r="F275">
            <v>45936</v>
          </cell>
          <cell r="G275" t="str">
            <v>SSS/2025-26/0109</v>
          </cell>
          <cell r="H275" t="str">
            <v>Str8 &amp; Secure Services</v>
          </cell>
          <cell r="I275" t="str">
            <v>AQIPG2144B</v>
          </cell>
          <cell r="J275" t="str">
            <v>07AQIPG2144B1ZF</v>
          </cell>
          <cell r="K275" t="str">
            <v>SADABA  BOB  RAMLILA GROND SADABAD  HATRAS  UP 281306</v>
          </cell>
          <cell r="L275" t="str">
            <v>Uttar Pradesh</v>
          </cell>
          <cell r="M275" t="str">
            <v>Bank of Baroda, Ramghat Road, opposite Hydel, Atrauli, Aligarh-202280</v>
          </cell>
          <cell r="N275" t="str">
            <v>Uttar Pradesh</v>
          </cell>
          <cell r="O275" t="str">
            <v>Assets Shifting</v>
          </cell>
          <cell r="P275">
            <v>8500</v>
          </cell>
          <cell r="Q275">
            <v>0</v>
          </cell>
          <cell r="R275">
            <v>0</v>
          </cell>
          <cell r="S275">
            <v>0</v>
          </cell>
          <cell r="T275">
            <v>1530</v>
          </cell>
          <cell r="U275">
            <v>0</v>
          </cell>
          <cell r="V275">
            <v>10030</v>
          </cell>
          <cell r="W275">
            <v>85</v>
          </cell>
          <cell r="X275">
            <v>0.01</v>
          </cell>
          <cell r="Y275">
            <v>9945</v>
          </cell>
          <cell r="AC275">
            <v>9945</v>
          </cell>
          <cell r="AJ275">
            <v>8500</v>
          </cell>
        </row>
        <row r="276">
          <cell r="B276">
            <v>2141</v>
          </cell>
          <cell r="C276" t="str">
            <v>NCR-Umesh</v>
          </cell>
          <cell r="D276" t="str">
            <v>Assets Shifting</v>
          </cell>
          <cell r="E276" t="str">
            <v>MPZ07720</v>
          </cell>
          <cell r="F276">
            <v>45936</v>
          </cell>
          <cell r="G276" t="str">
            <v>SSS/2025-26/0115</v>
          </cell>
          <cell r="H276" t="str">
            <v>Str8 &amp; Secure Services</v>
          </cell>
          <cell r="I276" t="str">
            <v>AQIPG2144B</v>
          </cell>
          <cell r="J276" t="str">
            <v>07AQIPG2144B1ZF</v>
          </cell>
          <cell r="K276" t="str">
            <v>Patel Faliyu Aniyad Shehara Panchmahal Gujarat 389210</v>
          </cell>
          <cell r="L276" t="str">
            <v>Gujarat</v>
          </cell>
          <cell r="M276" t="str">
            <v>Kishore Bagai Transport, l-2 Jai Mata Di Compound , 2nd left next to Hetvi Textile, Kalher Bhiwandi, Maharashtra - 421302</v>
          </cell>
          <cell r="N276" t="str">
            <v>Maharashtra</v>
          </cell>
          <cell r="O276" t="str">
            <v>Assets Shifting</v>
          </cell>
          <cell r="P276">
            <v>19000</v>
          </cell>
          <cell r="Q276">
            <v>0</v>
          </cell>
          <cell r="R276">
            <v>0</v>
          </cell>
          <cell r="S276">
            <v>0</v>
          </cell>
          <cell r="T276">
            <v>3420</v>
          </cell>
          <cell r="U276">
            <v>0</v>
          </cell>
          <cell r="V276">
            <v>22420</v>
          </cell>
          <cell r="W276">
            <v>190</v>
          </cell>
          <cell r="X276">
            <v>0.01</v>
          </cell>
          <cell r="Y276">
            <v>22230</v>
          </cell>
          <cell r="AC276">
            <v>22230</v>
          </cell>
          <cell r="AJ276">
            <v>19000</v>
          </cell>
        </row>
        <row r="277">
          <cell r="B277">
            <v>2155</v>
          </cell>
          <cell r="C277" t="str">
            <v>NCR-Hari</v>
          </cell>
          <cell r="D277" t="str">
            <v>Assets Shifting</v>
          </cell>
          <cell r="E277" t="str">
            <v>6BSTABRO02</v>
          </cell>
          <cell r="F277">
            <v>45936</v>
          </cell>
          <cell r="G277" t="str">
            <v>SSS/2025-26/0109</v>
          </cell>
          <cell r="H277" t="str">
            <v>Str8 &amp; Secure Services</v>
          </cell>
          <cell r="I277" t="str">
            <v>AQIPG2144B</v>
          </cell>
          <cell r="J277" t="str">
            <v>07AQIPG2144B1ZF</v>
          </cell>
          <cell r="K277" t="str">
            <v>STABRO NEAR PANCHBATTI CIRCLE STATION ROAD BHARUCH- 392001</v>
          </cell>
          <cell r="L277" t="str">
            <v>Gujarat</v>
          </cell>
          <cell r="M277" t="str">
            <v>STABRO NEAR PANCHBATTI CIRCLE STATION ROAD BHARUCH- 392001</v>
          </cell>
          <cell r="N277" t="str">
            <v>Gujarat</v>
          </cell>
          <cell r="O277" t="str">
            <v>Assets Shifting</v>
          </cell>
          <cell r="P277">
            <v>4500</v>
          </cell>
          <cell r="Q277">
            <v>0</v>
          </cell>
          <cell r="R277">
            <v>0</v>
          </cell>
          <cell r="S277">
            <v>0</v>
          </cell>
          <cell r="T277">
            <v>810</v>
          </cell>
          <cell r="U277">
            <v>0</v>
          </cell>
          <cell r="V277">
            <v>5310</v>
          </cell>
          <cell r="W277">
            <v>45</v>
          </cell>
          <cell r="X277">
            <v>0.01</v>
          </cell>
          <cell r="Y277">
            <v>5265</v>
          </cell>
          <cell r="AC277">
            <v>5265</v>
          </cell>
          <cell r="AJ277">
            <v>4500</v>
          </cell>
        </row>
        <row r="278">
          <cell r="B278">
            <v>2156</v>
          </cell>
          <cell r="C278" t="str">
            <v>NCR-Hari</v>
          </cell>
          <cell r="D278" t="str">
            <v>Assets Shifting</v>
          </cell>
          <cell r="E278" t="str">
            <v>6BSTABRO01</v>
          </cell>
          <cell r="F278">
            <v>45936</v>
          </cell>
          <cell r="G278" t="str">
            <v>SSS/2025-26/0109</v>
          </cell>
          <cell r="H278" t="str">
            <v>Str8 &amp; Secure Services</v>
          </cell>
          <cell r="I278" t="str">
            <v>AQIPG2144B</v>
          </cell>
          <cell r="J278" t="str">
            <v>07AQIPG2144B1ZF</v>
          </cell>
          <cell r="K278" t="str">
            <v>STABRO NEAR PANCHBATTI CIRCLE STATION ROAD BHARUCH- 392001</v>
          </cell>
          <cell r="L278" t="str">
            <v>Gujarat</v>
          </cell>
          <cell r="M278" t="str">
            <v>STABRO NEAR PANCHBATTI CIRCLE STATION ROAD BHARUCH- 392001</v>
          </cell>
          <cell r="N278" t="str">
            <v>Gujarat</v>
          </cell>
          <cell r="O278" t="str">
            <v>Assets Shifting</v>
          </cell>
          <cell r="P278">
            <v>4500</v>
          </cell>
          <cell r="Q278">
            <v>0</v>
          </cell>
          <cell r="R278">
            <v>0</v>
          </cell>
          <cell r="S278">
            <v>0</v>
          </cell>
          <cell r="T278">
            <v>810</v>
          </cell>
          <cell r="U278">
            <v>0</v>
          </cell>
          <cell r="V278">
            <v>5310</v>
          </cell>
          <cell r="W278">
            <v>45</v>
          </cell>
          <cell r="X278">
            <v>0.01</v>
          </cell>
          <cell r="Y278">
            <v>5265</v>
          </cell>
          <cell r="AC278">
            <v>5265</v>
          </cell>
          <cell r="AJ278">
            <v>4500</v>
          </cell>
        </row>
        <row r="279">
          <cell r="B279">
            <v>2154</v>
          </cell>
          <cell r="C279" t="str">
            <v>Hitachi</v>
          </cell>
          <cell r="D279" t="str">
            <v>Assets Shifting</v>
          </cell>
          <cell r="E279" t="str">
            <v>MPZ15234</v>
          </cell>
          <cell r="F279">
            <v>45936</v>
          </cell>
          <cell r="G279" t="str">
            <v>SSS/2025-26/0108</v>
          </cell>
          <cell r="H279" t="str">
            <v>Str8 &amp; Secure Services</v>
          </cell>
          <cell r="I279" t="str">
            <v>AQIPG2144B</v>
          </cell>
          <cell r="J279" t="str">
            <v>07AQIPG2144B1ZF</v>
          </cell>
          <cell r="K279" t="str">
            <v>Block No.257, At-Dhobikuwa,Po -Mahuvad, Padra Jambusar Road, Ta- Padra, Dist: Vadodara, Gujarat</v>
          </cell>
          <cell r="L279" t="str">
            <v>Gujarat</v>
          </cell>
          <cell r="M279" t="str">
            <v>Plot no 123, Sector 56 Phase IV, Industrial estate, kundli sonipat, sonipat, Haryana, 131028</v>
          </cell>
          <cell r="N279" t="str">
            <v>Haryana</v>
          </cell>
          <cell r="O279" t="str">
            <v>Assets Shifting</v>
          </cell>
          <cell r="P279">
            <v>21000</v>
          </cell>
          <cell r="Q279">
            <v>0</v>
          </cell>
          <cell r="R279">
            <v>0</v>
          </cell>
          <cell r="S279">
            <v>0</v>
          </cell>
          <cell r="T279">
            <v>3780</v>
          </cell>
          <cell r="U279">
            <v>0</v>
          </cell>
          <cell r="V279">
            <v>24780</v>
          </cell>
          <cell r="W279">
            <v>210</v>
          </cell>
          <cell r="X279">
            <v>0.01</v>
          </cell>
          <cell r="Y279">
            <v>24570</v>
          </cell>
          <cell r="AC279">
            <v>24570</v>
          </cell>
          <cell r="AJ279">
            <v>21000</v>
          </cell>
        </row>
        <row r="280">
          <cell r="B280">
            <v>2162</v>
          </cell>
          <cell r="C280" t="str">
            <v>NCR-Umesh</v>
          </cell>
          <cell r="D280" t="str">
            <v>Assets Shifting</v>
          </cell>
          <cell r="E280" t="str">
            <v>MPZ05996</v>
          </cell>
          <cell r="F280">
            <v>45936</v>
          </cell>
          <cell r="G280" t="str">
            <v>SSS/2025-26/0112</v>
          </cell>
          <cell r="H280" t="str">
            <v>Str8 &amp; Secure Services</v>
          </cell>
          <cell r="I280" t="str">
            <v>AQIPG2144B</v>
          </cell>
          <cell r="J280" t="str">
            <v>07AQIPG2144B1ZF</v>
          </cell>
          <cell r="K280" t="str">
            <v>In Front Of Nagar Panchayt Office Patiyali Kasaganj</v>
          </cell>
          <cell r="L280" t="str">
            <v>Uttar Pradesh</v>
          </cell>
          <cell r="M280" t="str">
            <v>Plot no 123, Sector 56 Phase IV, Industrial estate, kundli sonipat, sonipat, Haryana, 131028</v>
          </cell>
          <cell r="N280" t="str">
            <v>Haryana</v>
          </cell>
          <cell r="O280" t="str">
            <v>Assets Shifting</v>
          </cell>
          <cell r="P280">
            <v>18000</v>
          </cell>
          <cell r="Q280">
            <v>0</v>
          </cell>
          <cell r="R280">
            <v>0</v>
          </cell>
          <cell r="S280">
            <v>0</v>
          </cell>
          <cell r="T280">
            <v>3240</v>
          </cell>
          <cell r="U280">
            <v>0</v>
          </cell>
          <cell r="V280">
            <v>21240</v>
          </cell>
          <cell r="W280">
            <v>180</v>
          </cell>
          <cell r="X280">
            <v>0.01</v>
          </cell>
          <cell r="Y280">
            <v>21060</v>
          </cell>
          <cell r="AC280">
            <v>21060</v>
          </cell>
          <cell r="AJ280">
            <v>18000</v>
          </cell>
        </row>
        <row r="281">
          <cell r="B281">
            <v>2163</v>
          </cell>
          <cell r="C281" t="str">
            <v>NCR-Umesh</v>
          </cell>
          <cell r="D281" t="str">
            <v>Assets Shifting</v>
          </cell>
          <cell r="E281" t="str">
            <v>MPZ10310</v>
          </cell>
          <cell r="F281">
            <v>45936</v>
          </cell>
          <cell r="G281" t="str">
            <v>SSS/2025-26/0114</v>
          </cell>
          <cell r="H281" t="str">
            <v>Str8 &amp; Secure Services</v>
          </cell>
          <cell r="I281" t="str">
            <v>AQIPG2144B</v>
          </cell>
          <cell r="J281" t="str">
            <v>07AQIPG2144B1ZF</v>
          </cell>
          <cell r="K281" t="str">
            <v>Near Govindpur Tempo Stand,,Bhulai Ka Purva Road, Swarajnagar, Allahabad 211002</v>
          </cell>
          <cell r="L281" t="str">
            <v>Uttar Pradesh</v>
          </cell>
          <cell r="M281" t="str">
            <v>Plot no 123, Sector 56 Phase IV, Industrial estate, kundli sonipat, sonipat, Haryana, 131028</v>
          </cell>
          <cell r="N281" t="str">
            <v>Haryana</v>
          </cell>
          <cell r="O281" t="str">
            <v>Assets Shifting</v>
          </cell>
          <cell r="P281">
            <v>18000</v>
          </cell>
          <cell r="Q281">
            <v>0</v>
          </cell>
          <cell r="R281">
            <v>0</v>
          </cell>
          <cell r="S281">
            <v>0</v>
          </cell>
          <cell r="T281">
            <v>3240</v>
          </cell>
          <cell r="U281">
            <v>0</v>
          </cell>
          <cell r="V281">
            <v>21240</v>
          </cell>
          <cell r="W281">
            <v>180</v>
          </cell>
          <cell r="X281">
            <v>0.01</v>
          </cell>
          <cell r="Y281">
            <v>21060</v>
          </cell>
          <cell r="AC281">
            <v>21060</v>
          </cell>
          <cell r="AJ281">
            <v>18000</v>
          </cell>
        </row>
        <row r="282">
          <cell r="B282">
            <v>2176</v>
          </cell>
          <cell r="C282" t="str">
            <v>NCR-HAri</v>
          </cell>
          <cell r="D282" t="str">
            <v>Assets Shifting</v>
          </cell>
          <cell r="E282" t="str">
            <v>6NOSACHA01</v>
          </cell>
          <cell r="F282">
            <v>45936</v>
          </cell>
          <cell r="G282" t="str">
            <v>SSS/2025-26/0109</v>
          </cell>
          <cell r="H282" t="str">
            <v>Str8 &amp; Secure Services</v>
          </cell>
          <cell r="I282" t="str">
            <v>AQIPG2144B</v>
          </cell>
          <cell r="J282" t="str">
            <v>07AQIPG2144B1ZF</v>
          </cell>
          <cell r="K282" t="str">
            <v>OSACHA BOB Osa Chauraha Post-Osa Chauraha Kaushambi Allahabad Pin-212207</v>
          </cell>
          <cell r="L282" t="str">
            <v>Uttar Pradesh</v>
          </cell>
          <cell r="M282" t="str">
            <v>OSACHA BOB Osa Chauraha Post-Osa Chauraha Kaushambi Allahabad Pin-212207 ( Inside the Branch )</v>
          </cell>
          <cell r="N282" t="str">
            <v>Uttar Pradesh</v>
          </cell>
          <cell r="O282" t="str">
            <v>Assets Shifting</v>
          </cell>
          <cell r="P282">
            <v>5500</v>
          </cell>
          <cell r="Q282">
            <v>0</v>
          </cell>
          <cell r="R282">
            <v>0</v>
          </cell>
          <cell r="S282">
            <v>0</v>
          </cell>
          <cell r="T282">
            <v>990</v>
          </cell>
          <cell r="U282">
            <v>0</v>
          </cell>
          <cell r="V282">
            <v>6490</v>
          </cell>
          <cell r="W282">
            <v>55</v>
          </cell>
          <cell r="X282">
            <v>0.01</v>
          </cell>
          <cell r="Y282">
            <v>6435</v>
          </cell>
          <cell r="AC282">
            <v>6435</v>
          </cell>
          <cell r="AJ282">
            <v>5500</v>
          </cell>
        </row>
        <row r="283">
          <cell r="B283">
            <v>2173</v>
          </cell>
          <cell r="C283" t="str">
            <v>Hitachi</v>
          </cell>
          <cell r="D283" t="str">
            <v>Assets Shifting</v>
          </cell>
          <cell r="E283" t="str">
            <v>MPZ10614</v>
          </cell>
          <cell r="F283">
            <v>45936</v>
          </cell>
          <cell r="G283" t="str">
            <v>SSS/2025-26/0106</v>
          </cell>
          <cell r="H283" t="str">
            <v>Str8 &amp; Secure Services</v>
          </cell>
          <cell r="I283" t="str">
            <v>AQIPG2144B</v>
          </cell>
          <cell r="J283" t="str">
            <v>07AQIPG2144B1ZF</v>
          </cell>
          <cell r="K283" t="str">
            <v>Bhawna chowk , Devi mandir Road Panipat</v>
          </cell>
          <cell r="L283" t="str">
            <v>Haryana</v>
          </cell>
          <cell r="M283" t="str">
            <v>Plot no 123, Sector 56 Phase IV, Industrial estate, kundli sonipat, sonipat, Haryana, 131028</v>
          </cell>
          <cell r="N283" t="str">
            <v>Haryana</v>
          </cell>
          <cell r="O283" t="str">
            <v>Assets Shifting</v>
          </cell>
          <cell r="P283">
            <v>19000</v>
          </cell>
          <cell r="Q283">
            <v>0</v>
          </cell>
          <cell r="R283">
            <v>0</v>
          </cell>
          <cell r="S283">
            <v>0</v>
          </cell>
          <cell r="T283">
            <v>3420</v>
          </cell>
          <cell r="U283">
            <v>0</v>
          </cell>
          <cell r="V283">
            <v>22420</v>
          </cell>
          <cell r="W283">
            <v>190</v>
          </cell>
          <cell r="X283">
            <v>0.01</v>
          </cell>
          <cell r="Y283">
            <v>22230</v>
          </cell>
          <cell r="AC283">
            <v>22230</v>
          </cell>
          <cell r="AJ283">
            <v>19000</v>
          </cell>
        </row>
        <row r="284">
          <cell r="B284">
            <v>2172</v>
          </cell>
          <cell r="C284" t="str">
            <v>NCR-Umesh</v>
          </cell>
          <cell r="D284" t="str">
            <v>Assets Shifting</v>
          </cell>
          <cell r="E284" t="str">
            <v>MPZ14028</v>
          </cell>
          <cell r="F284">
            <v>45936</v>
          </cell>
          <cell r="G284" t="str">
            <v>SSS/2025-26/0112</v>
          </cell>
          <cell r="H284" t="str">
            <v>Str8 &amp; Secure Services</v>
          </cell>
          <cell r="I284" t="str">
            <v>AQIPG2144B</v>
          </cell>
          <cell r="J284" t="str">
            <v>07AQIPG2144B1ZF</v>
          </cell>
          <cell r="K284" t="str">
            <v>Shop 1, Near Devi Mandir School Deshraj Colony Panipat Haryana 132103</v>
          </cell>
          <cell r="L284" t="str">
            <v>Haryana</v>
          </cell>
          <cell r="M284" t="str">
            <v>Plot no 123, Sector 56 Phase IV, Industrial estate, kundli sonipat, sonipat, Haryana, 131028</v>
          </cell>
          <cell r="N284" t="str">
            <v>Haryana</v>
          </cell>
          <cell r="O284" t="str">
            <v>Assets Shifting</v>
          </cell>
          <cell r="P284">
            <v>15000</v>
          </cell>
          <cell r="Q284">
            <v>0</v>
          </cell>
          <cell r="R284">
            <v>0</v>
          </cell>
          <cell r="S284">
            <v>0</v>
          </cell>
          <cell r="T284">
            <v>2700</v>
          </cell>
          <cell r="U284">
            <v>0</v>
          </cell>
          <cell r="V284">
            <v>17700</v>
          </cell>
          <cell r="W284">
            <v>150</v>
          </cell>
          <cell r="X284">
            <v>0.01</v>
          </cell>
          <cell r="Y284">
            <v>17550</v>
          </cell>
          <cell r="AC284">
            <v>17550</v>
          </cell>
          <cell r="AJ284">
            <v>15000</v>
          </cell>
        </row>
        <row r="285">
          <cell r="B285">
            <v>2175</v>
          </cell>
          <cell r="C285" t="str">
            <v>Hitachi</v>
          </cell>
          <cell r="D285" t="str">
            <v>Assets Shifting</v>
          </cell>
          <cell r="E285" t="str">
            <v>MPB01411</v>
          </cell>
          <cell r="F285">
            <v>45936</v>
          </cell>
          <cell r="G285" t="str">
            <v>SSS/2025-26/0108</v>
          </cell>
          <cell r="H285" t="str">
            <v>Str8 &amp; Secure Services</v>
          </cell>
          <cell r="I285" t="str">
            <v>AQIPG2144B</v>
          </cell>
          <cell r="J285" t="str">
            <v>07AQIPG2144B1ZF</v>
          </cell>
          <cell r="K285" t="str">
            <v>GSRTC, Ankleshwar GIDC Bus Station, Ankleshwar, Gujarat 393001</v>
          </cell>
          <cell r="L285" t="str">
            <v>Gujarat</v>
          </cell>
          <cell r="M285" t="str">
            <v>Plot no 123, Sector 56 Phase IV, Industrial estate, kundli sonipat, sonipat, Haryana, 131028</v>
          </cell>
          <cell r="N285" t="str">
            <v>Haryana</v>
          </cell>
          <cell r="O285" t="str">
            <v>Assets Shifting</v>
          </cell>
          <cell r="P285">
            <v>21000</v>
          </cell>
          <cell r="Q285">
            <v>0</v>
          </cell>
          <cell r="R285">
            <v>0</v>
          </cell>
          <cell r="S285">
            <v>0</v>
          </cell>
          <cell r="T285">
            <v>3780</v>
          </cell>
          <cell r="U285">
            <v>0</v>
          </cell>
          <cell r="V285">
            <v>24780</v>
          </cell>
          <cell r="W285">
            <v>210</v>
          </cell>
          <cell r="X285">
            <v>0.01</v>
          </cell>
          <cell r="Y285">
            <v>24570</v>
          </cell>
          <cell r="AC285">
            <v>24570</v>
          </cell>
          <cell r="AJ285">
            <v>21000</v>
          </cell>
        </row>
        <row r="286">
          <cell r="B286">
            <v>2174</v>
          </cell>
          <cell r="C286" t="str">
            <v>Hitachi</v>
          </cell>
          <cell r="D286" t="str">
            <v>Assets Shifting</v>
          </cell>
          <cell r="E286" t="str">
            <v>MPZ05063</v>
          </cell>
          <cell r="F286">
            <v>45936</v>
          </cell>
          <cell r="G286" t="str">
            <v>SSS/2025-26/0108</v>
          </cell>
          <cell r="H286" t="str">
            <v>Str8 &amp; Secure Services</v>
          </cell>
          <cell r="I286" t="str">
            <v>AQIPG2144B</v>
          </cell>
          <cell r="J286" t="str">
            <v>07AQIPG2144B1ZF</v>
          </cell>
          <cell r="K286" t="str">
            <v>208-2-A, Mahendra Nagar, Gadkhol Patiya, Ankleshwar-393010</v>
          </cell>
          <cell r="L286" t="str">
            <v>Gujarat</v>
          </cell>
          <cell r="M286" t="str">
            <v>Plot no 123, Sector 56 Phase IV, Industrial estate, kundli sonipat, sonipat, Haryana, 131028</v>
          </cell>
          <cell r="N286" t="str">
            <v>Haryana</v>
          </cell>
          <cell r="O286" t="str">
            <v>Assets Shifting</v>
          </cell>
          <cell r="P286">
            <v>17000</v>
          </cell>
          <cell r="Q286">
            <v>0</v>
          </cell>
          <cell r="R286">
            <v>0</v>
          </cell>
          <cell r="S286">
            <v>0</v>
          </cell>
          <cell r="T286">
            <v>3060</v>
          </cell>
          <cell r="U286">
            <v>0</v>
          </cell>
          <cell r="V286">
            <v>20060</v>
          </cell>
          <cell r="W286">
            <v>170</v>
          </cell>
          <cell r="X286">
            <v>0.01</v>
          </cell>
          <cell r="Y286">
            <v>19890</v>
          </cell>
          <cell r="AC286">
            <v>19890</v>
          </cell>
          <cell r="AJ286">
            <v>17000</v>
          </cell>
        </row>
        <row r="287">
          <cell r="B287">
            <v>2180</v>
          </cell>
          <cell r="C287" t="str">
            <v>NCR-HAri</v>
          </cell>
          <cell r="D287" t="str">
            <v>Assets Shifting</v>
          </cell>
          <cell r="E287" t="str">
            <v>6BUDANAX01</v>
          </cell>
          <cell r="F287">
            <v>45936</v>
          </cell>
          <cell r="G287" t="str">
            <v>SSS/2025-26/0109</v>
          </cell>
          <cell r="H287" t="str">
            <v>Str8 &amp; Secure Services</v>
          </cell>
          <cell r="I287" t="str">
            <v>AQIPG2144B</v>
          </cell>
          <cell r="J287" t="str">
            <v>07AQIPG2144B1ZF</v>
          </cell>
          <cell r="K287" t="str">
            <v>At &amp; PO Udana Sadak, Tehsil Patan, Dist Jabalpur</v>
          </cell>
          <cell r="L287" t="str">
            <v>Madhya Pradesh</v>
          </cell>
          <cell r="M287" t="str">
            <v>Khasra No - 93/1/2,Village Colony - UDANA MUKHYA MARG PAR,Village Udana,Tehsil - PATAN,District - Jabalpur. Pin- 483113</v>
          </cell>
          <cell r="N287" t="str">
            <v>Madhya Pradesh</v>
          </cell>
          <cell r="O287" t="str">
            <v>Assets Shifting</v>
          </cell>
          <cell r="P287">
            <v>6000</v>
          </cell>
          <cell r="Q287">
            <v>0</v>
          </cell>
          <cell r="R287">
            <v>0</v>
          </cell>
          <cell r="S287">
            <v>0</v>
          </cell>
          <cell r="T287">
            <v>1080</v>
          </cell>
          <cell r="U287">
            <v>0</v>
          </cell>
          <cell r="V287">
            <v>7080</v>
          </cell>
          <cell r="W287">
            <v>60</v>
          </cell>
          <cell r="X287">
            <v>0.01</v>
          </cell>
          <cell r="Y287">
            <v>7020</v>
          </cell>
          <cell r="AC287">
            <v>7020</v>
          </cell>
          <cell r="AJ287">
            <v>6000</v>
          </cell>
        </row>
        <row r="288">
          <cell r="B288">
            <v>2179</v>
          </cell>
          <cell r="C288" t="str">
            <v>NCR-Umesh</v>
          </cell>
          <cell r="D288" t="str">
            <v>Assets Shifting</v>
          </cell>
          <cell r="E288" t="str">
            <v>MPZ09057</v>
          </cell>
          <cell r="F288">
            <v>45936</v>
          </cell>
          <cell r="G288" t="str">
            <v>SSS/2025-26/0116</v>
          </cell>
          <cell r="H288" t="str">
            <v>Str8 &amp; Secure Services</v>
          </cell>
          <cell r="I288" t="str">
            <v>AQIPG2144B</v>
          </cell>
          <cell r="J288" t="str">
            <v>07AQIPG2144B1ZF</v>
          </cell>
          <cell r="K288" t="str">
            <v>Turakpatti, post-Mahuawa Buzurg Dist- Kushinagar.274302</v>
          </cell>
          <cell r="L288" t="str">
            <v>Uttar Pradesh</v>
          </cell>
          <cell r="M288" t="str">
            <v>Plot no 123, Sector 56 Phase IV, Industrial estate, kundli sonipat, sonipat, Haryana, 131028</v>
          </cell>
          <cell r="N288" t="str">
            <v>Haryana</v>
          </cell>
          <cell r="O288" t="str">
            <v>Assets Shifting</v>
          </cell>
          <cell r="P288">
            <v>2000</v>
          </cell>
          <cell r="Q288">
            <v>0</v>
          </cell>
          <cell r="R288">
            <v>0</v>
          </cell>
          <cell r="S288">
            <v>0</v>
          </cell>
          <cell r="T288">
            <v>360</v>
          </cell>
          <cell r="U288">
            <v>0</v>
          </cell>
          <cell r="V288">
            <v>2360</v>
          </cell>
          <cell r="W288">
            <v>20</v>
          </cell>
          <cell r="X288">
            <v>0.01</v>
          </cell>
          <cell r="Y288">
            <v>2340</v>
          </cell>
          <cell r="AC288">
            <v>2340</v>
          </cell>
          <cell r="AJ288">
            <v>2000</v>
          </cell>
        </row>
        <row r="289">
          <cell r="B289">
            <v>2182</v>
          </cell>
          <cell r="C289" t="str">
            <v>NCR-HAri</v>
          </cell>
          <cell r="D289" t="str">
            <v>Assets Shifting</v>
          </cell>
          <cell r="E289" t="str">
            <v>6BSULTAN02</v>
          </cell>
          <cell r="F289">
            <v>45936</v>
          </cell>
          <cell r="G289" t="str">
            <v>SSS/2025-26/0109</v>
          </cell>
          <cell r="H289" t="str">
            <v>Str8 &amp; Secure Services</v>
          </cell>
          <cell r="I289" t="str">
            <v>AQIPG2144B</v>
          </cell>
          <cell r="J289" t="str">
            <v>07AQIPG2144B1ZF</v>
          </cell>
          <cell r="K289" t="str">
            <v>ROSULTÂ  591/01Â  CIVIL LINESÂ  OPP. PWD OFFICEÂ  SULTANPURÂ  UPÂ  PIN-228001</v>
          </cell>
          <cell r="L289" t="str">
            <v>Uttar Pradesh</v>
          </cell>
          <cell r="M289" t="str">
            <v>ROSULTÂ  591/01Â  CIVIL LINESÂ  OPP. PWD OFFICEÂ  SULTANPURÂ  UPÂ  PIN-228001 ( Inside the Branch )</v>
          </cell>
          <cell r="N289" t="str">
            <v>Uttar Pradesh</v>
          </cell>
          <cell r="O289" t="str">
            <v>Assets Shifting</v>
          </cell>
          <cell r="P289">
            <v>4500</v>
          </cell>
          <cell r="Q289">
            <v>0</v>
          </cell>
          <cell r="R289">
            <v>0</v>
          </cell>
          <cell r="S289">
            <v>0</v>
          </cell>
          <cell r="T289">
            <v>810</v>
          </cell>
          <cell r="U289">
            <v>0</v>
          </cell>
          <cell r="V289">
            <v>5310</v>
          </cell>
          <cell r="W289">
            <v>45</v>
          </cell>
          <cell r="X289">
            <v>0.01</v>
          </cell>
          <cell r="Y289">
            <v>5265</v>
          </cell>
          <cell r="AC289">
            <v>5265</v>
          </cell>
          <cell r="AJ289">
            <v>4500</v>
          </cell>
        </row>
        <row r="290">
          <cell r="B290">
            <v>2183</v>
          </cell>
          <cell r="C290" t="str">
            <v>NCR-HAri</v>
          </cell>
          <cell r="D290" t="str">
            <v>Assets Shifting</v>
          </cell>
          <cell r="E290" t="str">
            <v>6BSULTAN03</v>
          </cell>
          <cell r="F290">
            <v>45936</v>
          </cell>
          <cell r="G290" t="str">
            <v>SSS/2025-26/0109</v>
          </cell>
          <cell r="H290" t="str">
            <v>Str8 &amp; Secure Services</v>
          </cell>
          <cell r="I290" t="str">
            <v>AQIPG2144B</v>
          </cell>
          <cell r="J290" t="str">
            <v>07AQIPG2144B1ZF</v>
          </cell>
          <cell r="K290" t="str">
            <v>ROSULTÂ  591/01Â  CIVIL LINESÂ  OPP. PWD OFFICEÂ  SULTANPURÂ  UPÂ  PIN-228001</v>
          </cell>
          <cell r="L290" t="str">
            <v>Uttar Pradesh</v>
          </cell>
          <cell r="M290" t="str">
            <v>ROSULTÂ  591/01Â  CIVIL LINESÂ  OPP. PWD OFFICEÂ  SULTANPURÂ  UPÂ  PIN-228001 ( Inside the Branch )</v>
          </cell>
          <cell r="N290" t="str">
            <v>Uttar Pradesh</v>
          </cell>
          <cell r="O290" t="str">
            <v>Assets Shifting</v>
          </cell>
          <cell r="P290">
            <v>4500</v>
          </cell>
          <cell r="Q290">
            <v>0</v>
          </cell>
          <cell r="R290">
            <v>0</v>
          </cell>
          <cell r="S290">
            <v>0</v>
          </cell>
          <cell r="T290">
            <v>810</v>
          </cell>
          <cell r="U290">
            <v>0</v>
          </cell>
          <cell r="V290">
            <v>5310</v>
          </cell>
          <cell r="W290">
            <v>45</v>
          </cell>
          <cell r="X290">
            <v>0.01</v>
          </cell>
          <cell r="Y290">
            <v>5265</v>
          </cell>
          <cell r="AC290">
            <v>5265</v>
          </cell>
          <cell r="AJ290">
            <v>4500</v>
          </cell>
        </row>
        <row r="291">
          <cell r="B291">
            <v>2196</v>
          </cell>
          <cell r="C291" t="str">
            <v>NCR-Hari</v>
          </cell>
          <cell r="D291" t="str">
            <v>Assets Shifting</v>
          </cell>
          <cell r="E291" t="str">
            <v>6FPITHAM01</v>
          </cell>
          <cell r="F291">
            <v>45936</v>
          </cell>
          <cell r="G291" t="str">
            <v>SSS/2025-26/0109</v>
          </cell>
          <cell r="H291" t="str">
            <v>Str8 &amp; Secure Services</v>
          </cell>
          <cell r="I291" t="str">
            <v>AQIPG2144B</v>
          </cell>
          <cell r="J291" t="str">
            <v>07AQIPG2144B1ZF</v>
          </cell>
          <cell r="K291" t="str">
            <v>M/s Pratibha Syntax, Plot no. 4, Industrial Growth Centre, Pithampur, Madhyaradesh - 454774</v>
          </cell>
          <cell r="L291" t="str">
            <v>Madhya Pradesh</v>
          </cell>
          <cell r="M291" t="str">
            <v>112  Ravindra Nagar  Palasiya  Kanadiya  Main Road  Dist. Indore  Madhya Pradesh.Pin- 452018</v>
          </cell>
          <cell r="N291" t="str">
            <v>Madhya Pradesh</v>
          </cell>
          <cell r="O291" t="str">
            <v>Assets Shifting</v>
          </cell>
          <cell r="P291">
            <v>9000</v>
          </cell>
          <cell r="Q291">
            <v>0</v>
          </cell>
          <cell r="R291">
            <v>0</v>
          </cell>
          <cell r="S291">
            <v>0</v>
          </cell>
          <cell r="T291">
            <v>1620</v>
          </cell>
          <cell r="U291">
            <v>0</v>
          </cell>
          <cell r="V291">
            <v>10620</v>
          </cell>
          <cell r="W291">
            <v>90</v>
          </cell>
          <cell r="X291">
            <v>0.01</v>
          </cell>
          <cell r="Y291">
            <v>10530</v>
          </cell>
          <cell r="AC291">
            <v>10530</v>
          </cell>
          <cell r="AJ291">
            <v>9000</v>
          </cell>
        </row>
        <row r="292">
          <cell r="B292">
            <v>2197</v>
          </cell>
          <cell r="C292" t="str">
            <v>NCR-Hari</v>
          </cell>
          <cell r="D292" t="str">
            <v>Assets Shifting</v>
          </cell>
          <cell r="E292" t="str">
            <v>6FPITHAM01</v>
          </cell>
          <cell r="F292">
            <v>45936</v>
          </cell>
          <cell r="G292" t="str">
            <v>SSS/2025-26/0109</v>
          </cell>
          <cell r="H292" t="str">
            <v>Str8 &amp; Secure Services</v>
          </cell>
          <cell r="I292" t="str">
            <v>AQIPG2144B</v>
          </cell>
          <cell r="J292" t="str">
            <v>07AQIPG2144B1ZF</v>
          </cell>
          <cell r="K292" t="str">
            <v>M/s Pratibha Syntax, Plot no. 4, Industrial Growth Centre, Pithampur, Madhyaradesh - 454774</v>
          </cell>
          <cell r="L292" t="str">
            <v>Madhya Pradesh</v>
          </cell>
          <cell r="M292" t="str">
            <v>Plot No 199, Opp Nagarpalika Garden , Near Five start Honda showroom, Station Road Maliya Hatina , District Jungadh, Pincode 362245</v>
          </cell>
          <cell r="N292" t="str">
            <v>Gujarat</v>
          </cell>
          <cell r="O292" t="str">
            <v>Assets Shifting</v>
          </cell>
          <cell r="P292">
            <v>5500</v>
          </cell>
          <cell r="Q292">
            <v>0</v>
          </cell>
          <cell r="R292">
            <v>0</v>
          </cell>
          <cell r="S292">
            <v>0</v>
          </cell>
          <cell r="T292">
            <v>990</v>
          </cell>
          <cell r="U292">
            <v>0</v>
          </cell>
          <cell r="V292">
            <v>6490</v>
          </cell>
          <cell r="W292">
            <v>55</v>
          </cell>
          <cell r="X292">
            <v>0.01</v>
          </cell>
          <cell r="Y292">
            <v>6435</v>
          </cell>
          <cell r="AC292">
            <v>6435</v>
          </cell>
          <cell r="AJ292">
            <v>5500</v>
          </cell>
        </row>
        <row r="293">
          <cell r="B293">
            <v>2198</v>
          </cell>
          <cell r="C293" t="str">
            <v>NCR-Hari</v>
          </cell>
          <cell r="D293" t="str">
            <v>Assets Shifting</v>
          </cell>
          <cell r="E293" t="str">
            <v>6FPITHAM01</v>
          </cell>
          <cell r="F293">
            <v>45936</v>
          </cell>
          <cell r="G293" t="str">
            <v>SSS/2025-26/0109</v>
          </cell>
          <cell r="H293" t="str">
            <v>Str8 &amp; Secure Services</v>
          </cell>
          <cell r="I293" t="str">
            <v>AQIPG2144B</v>
          </cell>
          <cell r="J293" t="str">
            <v>07AQIPG2144B1ZF</v>
          </cell>
          <cell r="K293" t="str">
            <v>M/s Pratibha Syntax, Plot no. 4, Industrial Growth Centre, Pithampur, Madhyaradesh - 454774</v>
          </cell>
          <cell r="L293" t="str">
            <v>Madhya Pradesh</v>
          </cell>
          <cell r="M293" t="str">
            <v xml:space="preserve"> 2nd Floor, Block B, Godrej IT Park 2, Godrej &amp; Boyce Complex, Godrej Business District, Pirojshahnagar, L.B.S Marg, Vikhroli West, Mumbai, Maharashtra - 400079</v>
          </cell>
          <cell r="N293" t="str">
            <v>Maharashtra</v>
          </cell>
          <cell r="O293" t="str">
            <v>Assets Shifting</v>
          </cell>
          <cell r="P293">
            <v>4000</v>
          </cell>
          <cell r="Q293">
            <v>0</v>
          </cell>
          <cell r="R293">
            <v>0</v>
          </cell>
          <cell r="S293">
            <v>0</v>
          </cell>
          <cell r="T293">
            <v>720</v>
          </cell>
          <cell r="U293">
            <v>0</v>
          </cell>
          <cell r="V293">
            <v>4720</v>
          </cell>
          <cell r="W293">
            <v>40</v>
          </cell>
          <cell r="X293">
            <v>0.01</v>
          </cell>
          <cell r="Y293">
            <v>4680</v>
          </cell>
          <cell r="AC293">
            <v>4680</v>
          </cell>
          <cell r="AJ293">
            <v>4000</v>
          </cell>
        </row>
        <row r="294">
          <cell r="B294">
            <v>7332</v>
          </cell>
          <cell r="C294" t="str">
            <v>NCR-Rahul</v>
          </cell>
          <cell r="D294" t="str">
            <v>Assets Shifting</v>
          </cell>
          <cell r="E294" t="str">
            <v>S1NB002010001</v>
          </cell>
          <cell r="F294">
            <v>45936</v>
          </cell>
          <cell r="G294" t="str">
            <v>SSS/2025-26/0111</v>
          </cell>
          <cell r="H294" t="str">
            <v>Str8 &amp; Secure Services</v>
          </cell>
          <cell r="I294" t="str">
            <v>AQIPG2144B</v>
          </cell>
          <cell r="J294" t="str">
            <v>07AQIPG2144B1ZF</v>
          </cell>
          <cell r="K294" t="str">
            <v>Village-Nobagaon(Near Budha Mandir) VIP Pamohi DPS Link Road Police Station-Garchuk Guwahati-781035</v>
          </cell>
          <cell r="L294" t="str">
            <v>Assam</v>
          </cell>
          <cell r="M294" t="str">
            <v>Meghamansions PVT Limited, 8th Mile, Baridua, RI-Bhoi, Khanapara, Meghalaya-793102.</v>
          </cell>
          <cell r="N294" t="str">
            <v>Meghalaya</v>
          </cell>
          <cell r="O294" t="str">
            <v>Assets Shifting</v>
          </cell>
          <cell r="P294">
            <v>3000</v>
          </cell>
          <cell r="Q294">
            <v>0</v>
          </cell>
          <cell r="R294">
            <v>0</v>
          </cell>
          <cell r="S294">
            <v>0</v>
          </cell>
          <cell r="T294">
            <v>540</v>
          </cell>
          <cell r="U294">
            <v>0</v>
          </cell>
          <cell r="V294">
            <v>3540</v>
          </cell>
          <cell r="W294">
            <v>30</v>
          </cell>
          <cell r="X294">
            <v>0.01</v>
          </cell>
          <cell r="Y294">
            <v>3510</v>
          </cell>
          <cell r="AC294">
            <v>3510</v>
          </cell>
          <cell r="AJ294">
            <v>3000</v>
          </cell>
        </row>
        <row r="295">
          <cell r="B295">
            <v>7333</v>
          </cell>
          <cell r="C295" t="str">
            <v>NCR-Rahul</v>
          </cell>
          <cell r="D295" t="str">
            <v>Assets Shifting</v>
          </cell>
          <cell r="E295" t="str">
            <v>S1BB003665010</v>
          </cell>
          <cell r="F295">
            <v>45936</v>
          </cell>
          <cell r="G295" t="str">
            <v>SSS/2025-26/0111</v>
          </cell>
          <cell r="H295" t="str">
            <v>Str8 &amp; Secure Services</v>
          </cell>
          <cell r="I295" t="str">
            <v>AQIPG2144B</v>
          </cell>
          <cell r="J295" t="str">
            <v>07AQIPG2144B1ZF</v>
          </cell>
          <cell r="K295" t="str">
            <v>Village-Nobagaon(Near Budha Mandir) VIP Pamohi DPS Link Road Police Station-Garchuk Guwahati-781035</v>
          </cell>
          <cell r="L295" t="str">
            <v>Assam</v>
          </cell>
          <cell r="M295" t="str">
            <v>Meghamansions PVT Limited, 8th Mile, Baridua, RI-Bhoi, Khanapara, Meghalaya-793102.</v>
          </cell>
          <cell r="N295" t="str">
            <v>Meghalaya</v>
          </cell>
          <cell r="O295" t="str">
            <v>Assets Shifting</v>
          </cell>
          <cell r="P295">
            <v>3000</v>
          </cell>
          <cell r="Q295">
            <v>0</v>
          </cell>
          <cell r="R295">
            <v>0</v>
          </cell>
          <cell r="S295">
            <v>0</v>
          </cell>
          <cell r="T295">
            <v>540</v>
          </cell>
          <cell r="U295">
            <v>0</v>
          </cell>
          <cell r="V295">
            <v>3540</v>
          </cell>
          <cell r="W295">
            <v>30</v>
          </cell>
          <cell r="X295">
            <v>0.01</v>
          </cell>
          <cell r="Y295">
            <v>3510</v>
          </cell>
          <cell r="AC295">
            <v>3510</v>
          </cell>
          <cell r="AJ295">
            <v>3000</v>
          </cell>
        </row>
        <row r="296">
          <cell r="B296">
            <v>7114</v>
          </cell>
          <cell r="C296" t="str">
            <v>NCR-Rahul</v>
          </cell>
          <cell r="D296" t="str">
            <v>Assets Shifting</v>
          </cell>
          <cell r="E296" t="str">
            <v>S1NB001193022</v>
          </cell>
          <cell r="F296">
            <v>45936</v>
          </cell>
          <cell r="G296" t="str">
            <v>SSS/2025-26/0111</v>
          </cell>
          <cell r="H296" t="str">
            <v>Str8 &amp; Secure Services</v>
          </cell>
          <cell r="I296" t="str">
            <v>AQIPG2144B</v>
          </cell>
          <cell r="J296" t="str">
            <v>07AQIPG2144B1ZF</v>
          </cell>
          <cell r="K296" t="str">
            <v>Village-Nobagaon(Near Budha Mandir) VIP Pamohi DPS Link Road Police Station-Garchuk Guwahati-781035</v>
          </cell>
          <cell r="L296" t="str">
            <v>Assam</v>
          </cell>
          <cell r="M296" t="str">
            <v>Meghamansions PVT Limited, 8th Mile, Baridua, RI-Bhoi, Khanapara, Meghalaya-793102.</v>
          </cell>
          <cell r="N296" t="str">
            <v>Meghalaya</v>
          </cell>
          <cell r="O296" t="str">
            <v>Assets Shifting</v>
          </cell>
          <cell r="P296">
            <v>3000</v>
          </cell>
          <cell r="Q296">
            <v>0</v>
          </cell>
          <cell r="R296">
            <v>0</v>
          </cell>
          <cell r="S296">
            <v>0</v>
          </cell>
          <cell r="T296">
            <v>540</v>
          </cell>
          <cell r="U296">
            <v>0</v>
          </cell>
          <cell r="V296">
            <v>3540</v>
          </cell>
          <cell r="W296">
            <v>30</v>
          </cell>
          <cell r="X296">
            <v>0.01</v>
          </cell>
          <cell r="Y296">
            <v>3510</v>
          </cell>
          <cell r="AC296">
            <v>3510</v>
          </cell>
          <cell r="AJ296">
            <v>3000</v>
          </cell>
        </row>
        <row r="297">
          <cell r="B297">
            <v>7115</v>
          </cell>
          <cell r="C297" t="str">
            <v>NCR-Rahul</v>
          </cell>
          <cell r="D297" t="str">
            <v>Assets Shifting</v>
          </cell>
          <cell r="E297" t="str">
            <v>S1NB005591006</v>
          </cell>
          <cell r="F297">
            <v>45936</v>
          </cell>
          <cell r="G297" t="str">
            <v>SSS/2025-26/0111</v>
          </cell>
          <cell r="H297" t="str">
            <v>Str8 &amp; Secure Services</v>
          </cell>
          <cell r="I297" t="str">
            <v>AQIPG2144B</v>
          </cell>
          <cell r="J297" t="str">
            <v>07AQIPG2144B1ZF</v>
          </cell>
          <cell r="K297" t="str">
            <v>Village-Nobagaon(Near Budha Mandir) VIP Pamohi DPS Link Road Police Station-Garchuk Guwahati-781035</v>
          </cell>
          <cell r="L297" t="str">
            <v>Assam</v>
          </cell>
          <cell r="M297" t="str">
            <v>Meghamansions PVT Limited, 8th Mile, Baridua, RI-Bhoi, Khanapara, Meghalaya-793102.</v>
          </cell>
          <cell r="N297" t="str">
            <v>Meghalaya</v>
          </cell>
          <cell r="O297" t="str">
            <v>Assets Shifting</v>
          </cell>
          <cell r="P297">
            <v>3000</v>
          </cell>
          <cell r="Q297">
            <v>0</v>
          </cell>
          <cell r="R297">
            <v>0</v>
          </cell>
          <cell r="S297">
            <v>0</v>
          </cell>
          <cell r="T297">
            <v>540</v>
          </cell>
          <cell r="U297">
            <v>0</v>
          </cell>
          <cell r="V297">
            <v>3540</v>
          </cell>
          <cell r="W297">
            <v>30</v>
          </cell>
          <cell r="X297">
            <v>0.01</v>
          </cell>
          <cell r="Y297">
            <v>3510</v>
          </cell>
          <cell r="AC297">
            <v>3510</v>
          </cell>
          <cell r="AJ297">
            <v>3000</v>
          </cell>
        </row>
        <row r="298">
          <cell r="B298">
            <v>7116</v>
          </cell>
          <cell r="C298" t="str">
            <v>NCR-Rahul</v>
          </cell>
          <cell r="D298" t="str">
            <v>Assets Shifting</v>
          </cell>
          <cell r="E298" t="str">
            <v>S1NB005818009</v>
          </cell>
          <cell r="F298">
            <v>45936</v>
          </cell>
          <cell r="G298" t="str">
            <v>SSS/2025-26/0111</v>
          </cell>
          <cell r="H298" t="str">
            <v>Str8 &amp; Secure Services</v>
          </cell>
          <cell r="I298" t="str">
            <v>AQIPG2144B</v>
          </cell>
          <cell r="J298" t="str">
            <v>07AQIPG2144B1ZF</v>
          </cell>
          <cell r="K298" t="str">
            <v>Village-Nobagaon(Near Budha Mandir) VIP Pamohi DPS Link Road Police Station-Garchuk Guwahati-781035</v>
          </cell>
          <cell r="L298" t="str">
            <v>Assam</v>
          </cell>
          <cell r="M298" t="str">
            <v>Meghamansions PVT Limited, 8th Mile, Baridua, RI-Bhoi, Khanapara, Meghalaya-793102.</v>
          </cell>
          <cell r="N298" t="str">
            <v>Meghalaya</v>
          </cell>
          <cell r="O298" t="str">
            <v>Assets Shifting</v>
          </cell>
          <cell r="P298">
            <v>3000</v>
          </cell>
          <cell r="Q298">
            <v>0</v>
          </cell>
          <cell r="R298">
            <v>0</v>
          </cell>
          <cell r="S298">
            <v>0</v>
          </cell>
          <cell r="T298">
            <v>540</v>
          </cell>
          <cell r="U298">
            <v>0</v>
          </cell>
          <cell r="V298">
            <v>3540</v>
          </cell>
          <cell r="W298">
            <v>30</v>
          </cell>
          <cell r="X298">
            <v>0.01</v>
          </cell>
          <cell r="Y298">
            <v>3510</v>
          </cell>
          <cell r="AC298">
            <v>3510</v>
          </cell>
          <cell r="AJ298">
            <v>3000</v>
          </cell>
        </row>
        <row r="299">
          <cell r="B299">
            <v>7334</v>
          </cell>
          <cell r="C299" t="str">
            <v>NCR-Rahul</v>
          </cell>
          <cell r="D299" t="str">
            <v>Assets Shifting</v>
          </cell>
          <cell r="E299" t="str">
            <v>S1BB000195097</v>
          </cell>
          <cell r="F299">
            <v>45936</v>
          </cell>
          <cell r="G299" t="str">
            <v>SSS/2025-26/0111</v>
          </cell>
          <cell r="H299" t="str">
            <v>Str8 &amp; Secure Services</v>
          </cell>
          <cell r="I299" t="str">
            <v>AQIPG2144B</v>
          </cell>
          <cell r="J299" t="str">
            <v>07AQIPG2144B1ZF</v>
          </cell>
          <cell r="K299" t="str">
            <v>Village-Nobagaon(Near Budha Mandir) VIP Pamohi DPS Link Road Police Station-Garchuk Guwahati-781035</v>
          </cell>
          <cell r="L299" t="str">
            <v>Assam</v>
          </cell>
          <cell r="M299" t="str">
            <v>Meghamansions PVT Limited, 8th Mile, Baridua, RI-Bhoi, Khanapara, Meghalaya-793102.</v>
          </cell>
          <cell r="N299" t="str">
            <v>Meghalaya</v>
          </cell>
          <cell r="O299" t="str">
            <v>Assets Shifting</v>
          </cell>
          <cell r="P299">
            <v>3000</v>
          </cell>
          <cell r="Q299">
            <v>0</v>
          </cell>
          <cell r="R299">
            <v>0</v>
          </cell>
          <cell r="S299">
            <v>0</v>
          </cell>
          <cell r="T299">
            <v>540</v>
          </cell>
          <cell r="U299">
            <v>0</v>
          </cell>
          <cell r="V299">
            <v>3540</v>
          </cell>
          <cell r="W299">
            <v>30</v>
          </cell>
          <cell r="X299">
            <v>0.01</v>
          </cell>
          <cell r="Y299">
            <v>3510</v>
          </cell>
          <cell r="AC299">
            <v>3510</v>
          </cell>
          <cell r="AJ299">
            <v>3000</v>
          </cell>
        </row>
        <row r="300">
          <cell r="B300">
            <v>7118</v>
          </cell>
          <cell r="C300" t="str">
            <v>NCR-Rahul</v>
          </cell>
          <cell r="D300" t="str">
            <v>Assets Shifting</v>
          </cell>
          <cell r="E300" t="str">
            <v>S1NB004295002</v>
          </cell>
          <cell r="F300">
            <v>45936</v>
          </cell>
          <cell r="G300" t="str">
            <v>SSS/2025-26/0111</v>
          </cell>
          <cell r="H300" t="str">
            <v>Str8 &amp; Secure Services</v>
          </cell>
          <cell r="I300" t="str">
            <v>AQIPG2144B</v>
          </cell>
          <cell r="J300" t="str">
            <v>07AQIPG2144B1ZF</v>
          </cell>
          <cell r="K300" t="str">
            <v>Village-Nobagaon(Near Budha Mandir) VIP Pamohi DPS Link Road Police Station-Garchuk Guwahati-781035</v>
          </cell>
          <cell r="L300" t="str">
            <v>Assam</v>
          </cell>
          <cell r="M300" t="str">
            <v>Meghamansions PVT Limited, 8th Mile, Baridua, RI-Bhoi, Khanapara, Meghalaya-793102.</v>
          </cell>
          <cell r="N300" t="str">
            <v>Meghalaya</v>
          </cell>
          <cell r="O300" t="str">
            <v>Assets Shifting</v>
          </cell>
          <cell r="P300">
            <v>3000</v>
          </cell>
          <cell r="Q300">
            <v>0</v>
          </cell>
          <cell r="R300">
            <v>0</v>
          </cell>
          <cell r="S300">
            <v>0</v>
          </cell>
          <cell r="T300">
            <v>540</v>
          </cell>
          <cell r="U300">
            <v>0</v>
          </cell>
          <cell r="V300">
            <v>3540</v>
          </cell>
          <cell r="W300">
            <v>30</v>
          </cell>
          <cell r="X300">
            <v>0.01</v>
          </cell>
          <cell r="Y300">
            <v>3510</v>
          </cell>
          <cell r="AC300">
            <v>3510</v>
          </cell>
          <cell r="AJ300">
            <v>3000</v>
          </cell>
        </row>
        <row r="301">
          <cell r="B301">
            <v>7119</v>
          </cell>
          <cell r="C301" t="str">
            <v>NCR-Rahul</v>
          </cell>
          <cell r="D301" t="str">
            <v>Assets Shifting</v>
          </cell>
          <cell r="E301" t="str">
            <v>S1NB003593003</v>
          </cell>
          <cell r="F301">
            <v>45936</v>
          </cell>
          <cell r="G301" t="str">
            <v>SSS/2025-26/0111</v>
          </cell>
          <cell r="H301" t="str">
            <v>Str8 &amp; Secure Services</v>
          </cell>
          <cell r="I301" t="str">
            <v>AQIPG2144B</v>
          </cell>
          <cell r="J301" t="str">
            <v>07AQIPG2144B1ZF</v>
          </cell>
          <cell r="K301" t="str">
            <v>Village-Nobagaon(Near Budha Mandir) VIP Pamohi DPS Link Road Police Station-Garchuk Guwahati-781035</v>
          </cell>
          <cell r="L301" t="str">
            <v>Assam</v>
          </cell>
          <cell r="M301" t="str">
            <v>Meghamansions PVT Limited, 8th Mile, Baridua, RI-Bhoi, Khanapara, Meghalaya-793102.</v>
          </cell>
          <cell r="N301" t="str">
            <v>Meghalaya</v>
          </cell>
          <cell r="O301" t="str">
            <v>Assets Shifting</v>
          </cell>
          <cell r="P301">
            <v>3000</v>
          </cell>
          <cell r="Q301">
            <v>0</v>
          </cell>
          <cell r="R301">
            <v>0</v>
          </cell>
          <cell r="S301">
            <v>0</v>
          </cell>
          <cell r="T301">
            <v>540</v>
          </cell>
          <cell r="U301">
            <v>0</v>
          </cell>
          <cell r="V301">
            <v>3540</v>
          </cell>
          <cell r="W301">
            <v>30</v>
          </cell>
          <cell r="X301">
            <v>0.01</v>
          </cell>
          <cell r="Y301">
            <v>3510</v>
          </cell>
          <cell r="AC301">
            <v>3510</v>
          </cell>
          <cell r="AJ301">
            <v>3000</v>
          </cell>
        </row>
        <row r="302">
          <cell r="B302">
            <v>7120</v>
          </cell>
          <cell r="C302" t="str">
            <v>NCR-Rahul</v>
          </cell>
          <cell r="D302" t="str">
            <v>Assets Shifting</v>
          </cell>
          <cell r="E302" t="str">
            <v>S10B001584001</v>
          </cell>
          <cell r="F302">
            <v>45936</v>
          </cell>
          <cell r="G302" t="str">
            <v>SSS/2025-26/0111</v>
          </cell>
          <cell r="H302" t="str">
            <v>Str8 &amp; Secure Services</v>
          </cell>
          <cell r="I302" t="str">
            <v>AQIPG2144B</v>
          </cell>
          <cell r="J302" t="str">
            <v>07AQIPG2144B1ZF</v>
          </cell>
          <cell r="K302" t="str">
            <v>Village-Nobagaon(Near Budha Mandir) VIP Pamohi DPS Link Road Police Station-Garchuk Guwahati-781035</v>
          </cell>
          <cell r="L302" t="str">
            <v>Assam</v>
          </cell>
          <cell r="M302" t="str">
            <v>Meghamansions PVT Limited, 8th Mile, Baridua, RI-Bhoi, Khanapara, Meghalaya-793102.</v>
          </cell>
          <cell r="N302" t="str">
            <v>Meghalaya</v>
          </cell>
          <cell r="O302" t="str">
            <v>Assets Shifting</v>
          </cell>
          <cell r="P302">
            <v>3000</v>
          </cell>
          <cell r="Q302">
            <v>0</v>
          </cell>
          <cell r="R302">
            <v>0</v>
          </cell>
          <cell r="S302">
            <v>0</v>
          </cell>
          <cell r="T302">
            <v>540</v>
          </cell>
          <cell r="U302">
            <v>0</v>
          </cell>
          <cell r="V302">
            <v>3540</v>
          </cell>
          <cell r="W302">
            <v>30</v>
          </cell>
          <cell r="X302">
            <v>0.01</v>
          </cell>
          <cell r="Y302">
            <v>3510</v>
          </cell>
          <cell r="AC302">
            <v>3510</v>
          </cell>
          <cell r="AJ302">
            <v>3000</v>
          </cell>
        </row>
        <row r="303">
          <cell r="B303">
            <v>7335</v>
          </cell>
          <cell r="C303" t="str">
            <v>NCR-Rahul</v>
          </cell>
          <cell r="D303" t="str">
            <v>Assets Shifting</v>
          </cell>
          <cell r="E303" t="str">
            <v>S1NB005821003</v>
          </cell>
          <cell r="F303">
            <v>45936</v>
          </cell>
          <cell r="G303" t="str">
            <v>SSS/2025-26/0111</v>
          </cell>
          <cell r="H303" t="str">
            <v>Str8 &amp; Secure Services</v>
          </cell>
          <cell r="I303" t="str">
            <v>AQIPG2144B</v>
          </cell>
          <cell r="J303" t="str">
            <v>07AQIPG2144B1ZF</v>
          </cell>
          <cell r="K303" t="str">
            <v>Village-Nobagaon(Near Budha Mandir) VIP Pamohi DPS Link Road Police Station-Garchuk Guwahati-781035</v>
          </cell>
          <cell r="L303" t="str">
            <v>Assam</v>
          </cell>
          <cell r="M303" t="str">
            <v>Meghamansions PVT Limited, 8th Mile, Baridua, RI-Bhoi, Khanapara, Meghalaya-793102.</v>
          </cell>
          <cell r="N303" t="str">
            <v>Meghalaya</v>
          </cell>
          <cell r="O303" t="str">
            <v>Assets Shifting</v>
          </cell>
          <cell r="P303">
            <v>3000</v>
          </cell>
          <cell r="Q303">
            <v>0</v>
          </cell>
          <cell r="R303">
            <v>0</v>
          </cell>
          <cell r="S303">
            <v>0</v>
          </cell>
          <cell r="T303">
            <v>540</v>
          </cell>
          <cell r="U303">
            <v>0</v>
          </cell>
          <cell r="V303">
            <v>3540</v>
          </cell>
          <cell r="W303">
            <v>30</v>
          </cell>
          <cell r="X303">
            <v>0.01</v>
          </cell>
          <cell r="Y303">
            <v>3510</v>
          </cell>
          <cell r="AC303">
            <v>3510</v>
          </cell>
          <cell r="AJ303">
            <v>3000</v>
          </cell>
        </row>
        <row r="304">
          <cell r="B304">
            <v>7122</v>
          </cell>
          <cell r="C304" t="str">
            <v>NCR-Rahul</v>
          </cell>
          <cell r="D304" t="str">
            <v>Assets Shifting</v>
          </cell>
          <cell r="E304" t="str">
            <v>S1NB018248001</v>
          </cell>
          <cell r="F304">
            <v>45936</v>
          </cell>
          <cell r="G304" t="str">
            <v>SSS/2025-26/0111</v>
          </cell>
          <cell r="H304" t="str">
            <v>Str8 &amp; Secure Services</v>
          </cell>
          <cell r="I304" t="str">
            <v>AQIPG2144B</v>
          </cell>
          <cell r="J304" t="str">
            <v>07AQIPG2144B1ZF</v>
          </cell>
          <cell r="K304" t="str">
            <v>Village-Nobagaon(Near Budha Mandir) VIP Pamohi DPS Link Road Police Station-Garchuk Guwahati-781035</v>
          </cell>
          <cell r="L304" t="str">
            <v>Assam</v>
          </cell>
          <cell r="M304" t="str">
            <v>Meghamansions PVT Limited, 8th Mile, Baridua, RI-Bhoi, Khanapara, Meghalaya-793102.</v>
          </cell>
          <cell r="N304" t="str">
            <v>Meghalaya</v>
          </cell>
          <cell r="O304" t="str">
            <v>Assets Shifting</v>
          </cell>
          <cell r="P304">
            <v>3000</v>
          </cell>
          <cell r="Q304">
            <v>0</v>
          </cell>
          <cell r="R304">
            <v>0</v>
          </cell>
          <cell r="S304">
            <v>0</v>
          </cell>
          <cell r="T304">
            <v>540</v>
          </cell>
          <cell r="U304">
            <v>0</v>
          </cell>
          <cell r="V304">
            <v>3540</v>
          </cell>
          <cell r="W304">
            <v>30</v>
          </cell>
          <cell r="X304">
            <v>0.01</v>
          </cell>
          <cell r="Y304">
            <v>3510</v>
          </cell>
          <cell r="AC304">
            <v>3510</v>
          </cell>
          <cell r="AJ304">
            <v>3000</v>
          </cell>
        </row>
        <row r="305">
          <cell r="B305">
            <v>7336</v>
          </cell>
          <cell r="C305" t="str">
            <v>NCR-Rahul</v>
          </cell>
          <cell r="D305" t="str">
            <v>Assets Shifting</v>
          </cell>
          <cell r="E305" t="str">
            <v>S1BB002119002</v>
          </cell>
          <cell r="F305">
            <v>45936</v>
          </cell>
          <cell r="G305" t="str">
            <v>SSS/2025-26/0111</v>
          </cell>
          <cell r="H305" t="str">
            <v>Str8 &amp; Secure Services</v>
          </cell>
          <cell r="I305" t="str">
            <v>AQIPG2144B</v>
          </cell>
          <cell r="J305" t="str">
            <v>07AQIPG2144B1ZF</v>
          </cell>
          <cell r="K305" t="str">
            <v>Village-Nobagaon(Near Budha Mandir) VIP Pamohi DPS Link Road Police Station-Garchuk Guwahati-781035</v>
          </cell>
          <cell r="L305" t="str">
            <v>Assam</v>
          </cell>
          <cell r="M305" t="str">
            <v>Meghamansions PVT Limited, 8th Mile, Baridua, RI-Bhoi, Khanapara, Meghalaya-793102.</v>
          </cell>
          <cell r="N305" t="str">
            <v>Meghalaya</v>
          </cell>
          <cell r="O305" t="str">
            <v>Assets Shifting</v>
          </cell>
          <cell r="P305">
            <v>3000</v>
          </cell>
          <cell r="Q305">
            <v>0</v>
          </cell>
          <cell r="R305">
            <v>0</v>
          </cell>
          <cell r="S305">
            <v>0</v>
          </cell>
          <cell r="T305">
            <v>540</v>
          </cell>
          <cell r="U305">
            <v>0</v>
          </cell>
          <cell r="V305">
            <v>3540</v>
          </cell>
          <cell r="W305">
            <v>30</v>
          </cell>
          <cell r="X305">
            <v>0.01</v>
          </cell>
          <cell r="Y305">
            <v>3510</v>
          </cell>
          <cell r="AC305">
            <v>3510</v>
          </cell>
          <cell r="AJ305">
            <v>3000</v>
          </cell>
        </row>
        <row r="306">
          <cell r="B306">
            <v>7337</v>
          </cell>
          <cell r="C306" t="str">
            <v>NCR-Rahul</v>
          </cell>
          <cell r="D306" t="str">
            <v>Assets Shifting</v>
          </cell>
          <cell r="E306" t="str">
            <v>S1NB003232041</v>
          </cell>
          <cell r="F306">
            <v>45936</v>
          </cell>
          <cell r="G306" t="str">
            <v>SSS/2025-26/0111</v>
          </cell>
          <cell r="H306" t="str">
            <v>Str8 &amp; Secure Services</v>
          </cell>
          <cell r="I306" t="str">
            <v>AQIPG2144B</v>
          </cell>
          <cell r="J306" t="str">
            <v>07AQIPG2144B1ZF</v>
          </cell>
          <cell r="K306" t="str">
            <v>Village-Nobagaon(Near Budha Mandir) VIP Pamohi DPS Link Road Police Station-Garchuk Guwahati-781035</v>
          </cell>
          <cell r="L306" t="str">
            <v>Assam</v>
          </cell>
          <cell r="M306" t="str">
            <v>Meghamansions PVT Limited, 8th Mile, Baridua, RI-Bhoi, Khanapara, Meghalaya-793102.</v>
          </cell>
          <cell r="N306" t="str">
            <v>Meghalaya</v>
          </cell>
          <cell r="O306" t="str">
            <v>Assets Shifting</v>
          </cell>
          <cell r="P306">
            <v>3000</v>
          </cell>
          <cell r="Q306">
            <v>0</v>
          </cell>
          <cell r="R306">
            <v>0</v>
          </cell>
          <cell r="S306">
            <v>0</v>
          </cell>
          <cell r="T306">
            <v>540</v>
          </cell>
          <cell r="U306">
            <v>0</v>
          </cell>
          <cell r="V306">
            <v>3540</v>
          </cell>
          <cell r="W306">
            <v>30</v>
          </cell>
          <cell r="X306">
            <v>0.01</v>
          </cell>
          <cell r="Y306">
            <v>3510</v>
          </cell>
          <cell r="AC306">
            <v>3510</v>
          </cell>
          <cell r="AJ306">
            <v>3000</v>
          </cell>
        </row>
        <row r="307">
          <cell r="B307">
            <v>7125</v>
          </cell>
          <cell r="C307" t="str">
            <v>NCR-Rahul</v>
          </cell>
          <cell r="D307" t="str">
            <v>Assets Shifting</v>
          </cell>
          <cell r="E307" t="str">
            <v>S1NB007947009</v>
          </cell>
          <cell r="F307">
            <v>45936</v>
          </cell>
          <cell r="G307" t="str">
            <v>SSS/2025-26/0111</v>
          </cell>
          <cell r="H307" t="str">
            <v>Str8 &amp; Secure Services</v>
          </cell>
          <cell r="I307" t="str">
            <v>AQIPG2144B</v>
          </cell>
          <cell r="J307" t="str">
            <v>07AQIPG2144B1ZF</v>
          </cell>
          <cell r="K307" t="str">
            <v>Village-Nobagaon(Near Budha Mandir) VIP Pamohi DPS Link Road Police Station-Garchuk Guwahati-781035</v>
          </cell>
          <cell r="L307" t="str">
            <v>Assam</v>
          </cell>
          <cell r="M307" t="str">
            <v>Meghamansions PVT Limited, 8th Mile, Baridua, RI-Bhoi, Khanapara, Meghalaya-793102.</v>
          </cell>
          <cell r="N307" t="str">
            <v>Meghalaya</v>
          </cell>
          <cell r="O307" t="str">
            <v>Assets Shifting</v>
          </cell>
          <cell r="P307">
            <v>3000</v>
          </cell>
          <cell r="Q307">
            <v>0</v>
          </cell>
          <cell r="R307">
            <v>0</v>
          </cell>
          <cell r="S307">
            <v>0</v>
          </cell>
          <cell r="T307">
            <v>540</v>
          </cell>
          <cell r="U307">
            <v>0</v>
          </cell>
          <cell r="V307">
            <v>3540</v>
          </cell>
          <cell r="W307">
            <v>30</v>
          </cell>
          <cell r="X307">
            <v>0.01</v>
          </cell>
          <cell r="Y307">
            <v>3510</v>
          </cell>
          <cell r="AC307">
            <v>3510</v>
          </cell>
          <cell r="AJ307">
            <v>3000</v>
          </cell>
        </row>
        <row r="308">
          <cell r="B308">
            <v>7126</v>
          </cell>
          <cell r="C308" t="str">
            <v>NCR-Rahul</v>
          </cell>
          <cell r="D308" t="str">
            <v>Assets Shifting</v>
          </cell>
          <cell r="E308" t="str">
            <v>S1NB008068001</v>
          </cell>
          <cell r="F308">
            <v>45936</v>
          </cell>
          <cell r="G308" t="str">
            <v>SSS/2025-26/0111</v>
          </cell>
          <cell r="H308" t="str">
            <v>Str8 &amp; Secure Services</v>
          </cell>
          <cell r="I308" t="str">
            <v>AQIPG2144B</v>
          </cell>
          <cell r="J308" t="str">
            <v>07AQIPG2144B1ZF</v>
          </cell>
          <cell r="K308" t="str">
            <v>Village-Nobagaon(Near Budha Mandir) VIP Pamohi DPS Link Road Police Station-Garchuk Guwahati-781035</v>
          </cell>
          <cell r="L308" t="str">
            <v>Assam</v>
          </cell>
          <cell r="M308" t="str">
            <v>Meghamansions PVT Limited, 8th Mile, Baridua, RI-Bhoi, Khanapara, Meghalaya-793102.</v>
          </cell>
          <cell r="N308" t="str">
            <v>Meghalaya</v>
          </cell>
          <cell r="O308" t="str">
            <v>Assets Shifting</v>
          </cell>
          <cell r="P308">
            <v>3000</v>
          </cell>
          <cell r="Q308">
            <v>0</v>
          </cell>
          <cell r="R308">
            <v>0</v>
          </cell>
          <cell r="S308">
            <v>0</v>
          </cell>
          <cell r="T308">
            <v>540</v>
          </cell>
          <cell r="U308">
            <v>0</v>
          </cell>
          <cell r="V308">
            <v>3540</v>
          </cell>
          <cell r="W308">
            <v>30</v>
          </cell>
          <cell r="X308">
            <v>0.01</v>
          </cell>
          <cell r="Y308">
            <v>3510</v>
          </cell>
          <cell r="AC308">
            <v>3510</v>
          </cell>
          <cell r="AJ308">
            <v>3000</v>
          </cell>
        </row>
        <row r="309">
          <cell r="B309">
            <v>7338</v>
          </cell>
          <cell r="C309" t="str">
            <v>NCR-Rahul</v>
          </cell>
          <cell r="D309" t="str">
            <v>Assets Shifting</v>
          </cell>
          <cell r="E309" t="str">
            <v>S1BB011616003</v>
          </cell>
          <cell r="F309">
            <v>45936</v>
          </cell>
          <cell r="G309" t="str">
            <v>SSS/2025-26/0111</v>
          </cell>
          <cell r="H309" t="str">
            <v>Str8 &amp; Secure Services</v>
          </cell>
          <cell r="I309" t="str">
            <v>AQIPG2144B</v>
          </cell>
          <cell r="J309" t="str">
            <v>07AQIPG2144B1ZF</v>
          </cell>
          <cell r="K309" t="str">
            <v>Village-Nobagaon(Near Budha Mandir) VIP Pamohi DPS Link Road Police Station-Garchuk Guwahati-781035</v>
          </cell>
          <cell r="L309" t="str">
            <v>Assam</v>
          </cell>
          <cell r="M309" t="str">
            <v>Meghamansions PVT Limited, 8th Mile, Baridua, RI-Bhoi, Khanapara, Meghalaya-793102.</v>
          </cell>
          <cell r="N309" t="str">
            <v>Meghalaya</v>
          </cell>
          <cell r="O309" t="str">
            <v>Assets Shifting</v>
          </cell>
          <cell r="P309">
            <v>3000</v>
          </cell>
          <cell r="Q309">
            <v>0</v>
          </cell>
          <cell r="R309">
            <v>0</v>
          </cell>
          <cell r="S309">
            <v>0</v>
          </cell>
          <cell r="T309">
            <v>540</v>
          </cell>
          <cell r="U309">
            <v>0</v>
          </cell>
          <cell r="V309">
            <v>3540</v>
          </cell>
          <cell r="W309">
            <v>30</v>
          </cell>
          <cell r="X309">
            <v>0.01</v>
          </cell>
          <cell r="Y309">
            <v>3510</v>
          </cell>
          <cell r="AC309">
            <v>3510</v>
          </cell>
          <cell r="AJ309">
            <v>3000</v>
          </cell>
        </row>
        <row r="310">
          <cell r="B310">
            <v>7128</v>
          </cell>
          <cell r="C310" t="str">
            <v>NCR-Rahul</v>
          </cell>
          <cell r="D310" t="str">
            <v>Assets Shifting</v>
          </cell>
          <cell r="E310" t="str">
            <v>S1NB006804002</v>
          </cell>
          <cell r="F310">
            <v>45936</v>
          </cell>
          <cell r="G310" t="str">
            <v>SSS/2025-26/0111</v>
          </cell>
          <cell r="H310" t="str">
            <v>Str8 &amp; Secure Services</v>
          </cell>
          <cell r="I310" t="str">
            <v>AQIPG2144B</v>
          </cell>
          <cell r="J310" t="str">
            <v>07AQIPG2144B1ZF</v>
          </cell>
          <cell r="K310" t="str">
            <v>Village-Nobagaon(Near Budha Mandir) VIP Pamohi DPS Link Road Police Station-Garchuk Guwahati-781035</v>
          </cell>
          <cell r="L310" t="str">
            <v>Assam</v>
          </cell>
          <cell r="M310" t="str">
            <v>Meghamansions PVT Limited, 8th Mile, Baridua, RI-Bhoi, Khanapara, Meghalaya-793102.</v>
          </cell>
          <cell r="N310" t="str">
            <v>Meghalaya</v>
          </cell>
          <cell r="O310" t="str">
            <v>Assets Shifting</v>
          </cell>
          <cell r="P310">
            <v>3000</v>
          </cell>
          <cell r="Q310">
            <v>0</v>
          </cell>
          <cell r="R310">
            <v>0</v>
          </cell>
          <cell r="S310">
            <v>0</v>
          </cell>
          <cell r="T310">
            <v>540</v>
          </cell>
          <cell r="U310">
            <v>0</v>
          </cell>
          <cell r="V310">
            <v>3540</v>
          </cell>
          <cell r="W310">
            <v>30</v>
          </cell>
          <cell r="X310">
            <v>0.01</v>
          </cell>
          <cell r="Y310">
            <v>3510</v>
          </cell>
          <cell r="AC310">
            <v>3510</v>
          </cell>
          <cell r="AJ310">
            <v>3000</v>
          </cell>
        </row>
        <row r="311">
          <cell r="B311">
            <v>7339</v>
          </cell>
          <cell r="C311" t="str">
            <v>NCR-Rahul</v>
          </cell>
          <cell r="D311" t="str">
            <v>Assets Shifting</v>
          </cell>
          <cell r="E311" t="str">
            <v>S1BB005246001</v>
          </cell>
          <cell r="F311">
            <v>45936</v>
          </cell>
          <cell r="G311" t="str">
            <v>SSS/2025-26/0111</v>
          </cell>
          <cell r="H311" t="str">
            <v>Str8 &amp; Secure Services</v>
          </cell>
          <cell r="I311" t="str">
            <v>AQIPG2144B</v>
          </cell>
          <cell r="J311" t="str">
            <v>07AQIPG2144B1ZF</v>
          </cell>
          <cell r="K311" t="str">
            <v>Village-Nobagaon(Near Budha Mandir) VIP Pamohi DPS Link Road Police Station-Garchuk Guwahati-781035</v>
          </cell>
          <cell r="L311" t="str">
            <v>Assam</v>
          </cell>
          <cell r="M311" t="str">
            <v>Meghamansions PVT Limited, 8th Mile, Baridua, RI-Bhoi, Khanapara, Meghalaya-793102.</v>
          </cell>
          <cell r="N311" t="str">
            <v>Meghalaya</v>
          </cell>
          <cell r="O311" t="str">
            <v>Assets Shifting</v>
          </cell>
          <cell r="P311">
            <v>3000</v>
          </cell>
          <cell r="Q311">
            <v>0</v>
          </cell>
          <cell r="R311">
            <v>0</v>
          </cell>
          <cell r="S311">
            <v>0</v>
          </cell>
          <cell r="T311">
            <v>540</v>
          </cell>
          <cell r="U311">
            <v>0</v>
          </cell>
          <cell r="V311">
            <v>3540</v>
          </cell>
          <cell r="W311">
            <v>30</v>
          </cell>
          <cell r="X311">
            <v>0.01</v>
          </cell>
          <cell r="Y311">
            <v>3510</v>
          </cell>
          <cell r="AC311">
            <v>3510</v>
          </cell>
          <cell r="AJ311">
            <v>3000</v>
          </cell>
        </row>
        <row r="312">
          <cell r="B312">
            <v>7340</v>
          </cell>
          <cell r="C312" t="str">
            <v>NCR-Rahul</v>
          </cell>
          <cell r="D312" t="str">
            <v>Assets Shifting</v>
          </cell>
          <cell r="E312" t="str">
            <v>S1BB008462001</v>
          </cell>
          <cell r="F312">
            <v>45936</v>
          </cell>
          <cell r="G312" t="str">
            <v>SSS/2025-26/0111</v>
          </cell>
          <cell r="H312" t="str">
            <v>Str8 &amp; Secure Services</v>
          </cell>
          <cell r="I312" t="str">
            <v>AQIPG2144B</v>
          </cell>
          <cell r="J312" t="str">
            <v>07AQIPG2144B1ZF</v>
          </cell>
          <cell r="K312" t="str">
            <v>Village-Nobagaon(Near Budha Mandir) VIP Pamohi DPS Link Road Police Station-Garchuk Guwahati-781035</v>
          </cell>
          <cell r="L312" t="str">
            <v>Assam</v>
          </cell>
          <cell r="M312" t="str">
            <v>Meghamansions PVT Limited, 8th Mile, Baridua, RI-Bhoi, Khanapara, Meghalaya-793102.</v>
          </cell>
          <cell r="N312" t="str">
            <v>Meghalaya</v>
          </cell>
          <cell r="O312" t="str">
            <v>Assets Shifting</v>
          </cell>
          <cell r="P312">
            <v>3000</v>
          </cell>
          <cell r="Q312">
            <v>0</v>
          </cell>
          <cell r="R312">
            <v>0</v>
          </cell>
          <cell r="S312">
            <v>0</v>
          </cell>
          <cell r="T312">
            <v>540</v>
          </cell>
          <cell r="U312">
            <v>0</v>
          </cell>
          <cell r="V312">
            <v>3540</v>
          </cell>
          <cell r="W312">
            <v>30</v>
          </cell>
          <cell r="X312">
            <v>0.01</v>
          </cell>
          <cell r="Y312">
            <v>3510</v>
          </cell>
          <cell r="AC312">
            <v>3510</v>
          </cell>
          <cell r="AJ312">
            <v>3000</v>
          </cell>
        </row>
        <row r="313">
          <cell r="B313">
            <v>7341</v>
          </cell>
          <cell r="C313" t="str">
            <v>NCR-Rahul</v>
          </cell>
          <cell r="D313" t="str">
            <v>Assets Shifting</v>
          </cell>
          <cell r="E313" t="str">
            <v>S1NB002081008</v>
          </cell>
          <cell r="F313">
            <v>45936</v>
          </cell>
          <cell r="G313" t="str">
            <v>SSS/2025-26/0111</v>
          </cell>
          <cell r="H313" t="str">
            <v>Str8 &amp; Secure Services</v>
          </cell>
          <cell r="I313" t="str">
            <v>AQIPG2144B</v>
          </cell>
          <cell r="J313" t="str">
            <v>07AQIPG2144B1ZF</v>
          </cell>
          <cell r="K313" t="str">
            <v>Village-Nobagaon(Near Budha Mandir) VIP Pamohi DPS Link Road Police Station-Garchuk Guwahati-781035</v>
          </cell>
          <cell r="L313" t="str">
            <v>Assam</v>
          </cell>
          <cell r="M313" t="str">
            <v>Meghamansions PVT Limited, 8th Mile, Baridua, RI-Bhoi, Khanapara, Meghalaya-793102.</v>
          </cell>
          <cell r="N313" t="str">
            <v>Meghalaya</v>
          </cell>
          <cell r="O313" t="str">
            <v>Assets Shifting</v>
          </cell>
          <cell r="P313">
            <v>3000</v>
          </cell>
          <cell r="Q313">
            <v>0</v>
          </cell>
          <cell r="R313">
            <v>0</v>
          </cell>
          <cell r="S313">
            <v>0</v>
          </cell>
          <cell r="T313">
            <v>540</v>
          </cell>
          <cell r="U313">
            <v>0</v>
          </cell>
          <cell r="V313">
            <v>3540</v>
          </cell>
          <cell r="W313">
            <v>30</v>
          </cell>
          <cell r="X313">
            <v>0.01</v>
          </cell>
          <cell r="Y313">
            <v>3510</v>
          </cell>
          <cell r="AC313">
            <v>3510</v>
          </cell>
          <cell r="AJ313">
            <v>3000</v>
          </cell>
        </row>
        <row r="314">
          <cell r="B314">
            <v>7342</v>
          </cell>
          <cell r="C314" t="str">
            <v>NCR-Rahul</v>
          </cell>
          <cell r="D314" t="str">
            <v>Assets Shifting</v>
          </cell>
          <cell r="E314" t="str">
            <v>S1BB000028031</v>
          </cell>
          <cell r="F314">
            <v>45936</v>
          </cell>
          <cell r="G314" t="str">
            <v>SSS/2025-26/0111</v>
          </cell>
          <cell r="H314" t="str">
            <v>Str8 &amp; Secure Services</v>
          </cell>
          <cell r="I314" t="str">
            <v>AQIPG2144B</v>
          </cell>
          <cell r="J314" t="str">
            <v>07AQIPG2144B1ZF</v>
          </cell>
          <cell r="K314" t="str">
            <v>Village-Nobagaon(Near Budha Mandir) VIP Pamohi DPS Link Road Police Station-Garchuk Guwahati-781035</v>
          </cell>
          <cell r="L314" t="str">
            <v>Assam</v>
          </cell>
          <cell r="M314" t="str">
            <v>Meghamansions PVT Limited, 8th Mile, Baridua, RI-Bhoi, Khanapara, Meghalaya-793102.</v>
          </cell>
          <cell r="N314" t="str">
            <v>Meghalaya</v>
          </cell>
          <cell r="O314" t="str">
            <v>Assets Shifting</v>
          </cell>
          <cell r="P314">
            <v>3000</v>
          </cell>
          <cell r="Q314">
            <v>0</v>
          </cell>
          <cell r="R314">
            <v>0</v>
          </cell>
          <cell r="S314">
            <v>0</v>
          </cell>
          <cell r="T314">
            <v>540</v>
          </cell>
          <cell r="U314">
            <v>0</v>
          </cell>
          <cell r="V314">
            <v>3540</v>
          </cell>
          <cell r="W314">
            <v>30</v>
          </cell>
          <cell r="X314">
            <v>0.01</v>
          </cell>
          <cell r="Y314">
            <v>3510</v>
          </cell>
          <cell r="AC314">
            <v>3510</v>
          </cell>
          <cell r="AJ314">
            <v>3000</v>
          </cell>
        </row>
        <row r="315">
          <cell r="B315">
            <v>7343</v>
          </cell>
          <cell r="C315" t="str">
            <v>NCR-Rahul</v>
          </cell>
          <cell r="D315" t="str">
            <v>Assets Shifting</v>
          </cell>
          <cell r="E315" t="str">
            <v>S1BB002051001</v>
          </cell>
          <cell r="F315">
            <v>45936</v>
          </cell>
          <cell r="G315" t="str">
            <v>SSS/2025-26/0111</v>
          </cell>
          <cell r="H315" t="str">
            <v>Str8 &amp; Secure Services</v>
          </cell>
          <cell r="I315" t="str">
            <v>AQIPG2144B</v>
          </cell>
          <cell r="J315" t="str">
            <v>07AQIPG2144B1ZF</v>
          </cell>
          <cell r="K315" t="str">
            <v>Village-Nobagaon(Near Budha Mandir) VIP Pamohi DPS Link Road Police Station-Garchuk Guwahati-781035</v>
          </cell>
          <cell r="L315" t="str">
            <v>Assam</v>
          </cell>
          <cell r="M315" t="str">
            <v>Meghamansions PVT Limited, 8th Mile, Baridua, RI-Bhoi, Khanapara, Meghalaya-793102.</v>
          </cell>
          <cell r="N315" t="str">
            <v>Meghalaya</v>
          </cell>
          <cell r="O315" t="str">
            <v>Assets Shifting</v>
          </cell>
          <cell r="P315">
            <v>3000</v>
          </cell>
          <cell r="Q315">
            <v>0</v>
          </cell>
          <cell r="R315">
            <v>0</v>
          </cell>
          <cell r="S315">
            <v>0</v>
          </cell>
          <cell r="T315">
            <v>540</v>
          </cell>
          <cell r="U315">
            <v>0</v>
          </cell>
          <cell r="V315">
            <v>3540</v>
          </cell>
          <cell r="W315">
            <v>30</v>
          </cell>
          <cell r="X315">
            <v>0.01</v>
          </cell>
          <cell r="Y315">
            <v>3510</v>
          </cell>
          <cell r="AC315">
            <v>3510</v>
          </cell>
          <cell r="AJ315">
            <v>3000</v>
          </cell>
        </row>
        <row r="316">
          <cell r="B316">
            <v>7134</v>
          </cell>
          <cell r="C316" t="str">
            <v>NCR-Rahul</v>
          </cell>
          <cell r="D316" t="str">
            <v>Assets Shifting</v>
          </cell>
          <cell r="E316" t="str">
            <v>S1NB005783028</v>
          </cell>
          <cell r="F316">
            <v>45936</v>
          </cell>
          <cell r="G316" t="str">
            <v>SSS/2025-26/0111</v>
          </cell>
          <cell r="H316" t="str">
            <v>Str8 &amp; Secure Services</v>
          </cell>
          <cell r="I316" t="str">
            <v>AQIPG2144B</v>
          </cell>
          <cell r="J316" t="str">
            <v>07AQIPG2144B1ZF</v>
          </cell>
          <cell r="K316" t="str">
            <v>Village-Nobagaon(Near Budha Mandir) VIP Pamohi DPS Link Road Police Station-Garchuk Guwahati-781035</v>
          </cell>
          <cell r="L316" t="str">
            <v>Assam</v>
          </cell>
          <cell r="M316" t="str">
            <v>Meghamansions PVT Limited, 8th Mile, Baridua, RI-Bhoi, Khanapara, Meghalaya-793102.</v>
          </cell>
          <cell r="N316" t="str">
            <v>Meghalaya</v>
          </cell>
          <cell r="O316" t="str">
            <v>Assets Shifting</v>
          </cell>
          <cell r="P316">
            <v>3000</v>
          </cell>
          <cell r="Q316">
            <v>0</v>
          </cell>
          <cell r="R316">
            <v>0</v>
          </cell>
          <cell r="S316">
            <v>0</v>
          </cell>
          <cell r="T316">
            <v>540</v>
          </cell>
          <cell r="U316">
            <v>0</v>
          </cell>
          <cell r="V316">
            <v>3540</v>
          </cell>
          <cell r="W316">
            <v>30</v>
          </cell>
          <cell r="X316">
            <v>0.01</v>
          </cell>
          <cell r="Y316">
            <v>3510</v>
          </cell>
          <cell r="AC316">
            <v>3510</v>
          </cell>
          <cell r="AJ316">
            <v>3000</v>
          </cell>
        </row>
        <row r="317">
          <cell r="B317">
            <v>7344</v>
          </cell>
          <cell r="C317" t="str">
            <v>NCR-Rahul</v>
          </cell>
          <cell r="D317" t="str">
            <v>Assets Shifting</v>
          </cell>
          <cell r="E317" t="str">
            <v>S1NB018807002</v>
          </cell>
          <cell r="F317">
            <v>45936</v>
          </cell>
          <cell r="G317" t="str">
            <v>SSS/2025-26/0111</v>
          </cell>
          <cell r="H317" t="str">
            <v>Str8 &amp; Secure Services</v>
          </cell>
          <cell r="I317" t="str">
            <v>AQIPG2144B</v>
          </cell>
          <cell r="J317" t="str">
            <v>07AQIPG2144B1ZF</v>
          </cell>
          <cell r="K317" t="str">
            <v>Village-Nobagaon(Near Budha Mandir) VIP Pamohi DPS Link Road Police Station-Garchuk Guwahati-781035</v>
          </cell>
          <cell r="L317" t="str">
            <v>Assam</v>
          </cell>
          <cell r="M317" t="str">
            <v>Meghamansions PVT Limited, 8th Mile, Baridua, RI-Bhoi, Khanapara, Meghalaya-793102.</v>
          </cell>
          <cell r="N317" t="str">
            <v>Meghalaya</v>
          </cell>
          <cell r="O317" t="str">
            <v>Assets Shifting</v>
          </cell>
          <cell r="P317">
            <v>3000</v>
          </cell>
          <cell r="Q317">
            <v>0</v>
          </cell>
          <cell r="R317">
            <v>0</v>
          </cell>
          <cell r="S317">
            <v>0</v>
          </cell>
          <cell r="T317">
            <v>540</v>
          </cell>
          <cell r="U317">
            <v>0</v>
          </cell>
          <cell r="V317">
            <v>3540</v>
          </cell>
          <cell r="W317">
            <v>30</v>
          </cell>
          <cell r="X317">
            <v>0.01</v>
          </cell>
          <cell r="Y317">
            <v>3510</v>
          </cell>
          <cell r="AC317">
            <v>3510</v>
          </cell>
          <cell r="AJ317">
            <v>3000</v>
          </cell>
        </row>
        <row r="318">
          <cell r="B318">
            <v>7136</v>
          </cell>
          <cell r="C318" t="str">
            <v>NCR-Rahul</v>
          </cell>
          <cell r="D318" t="str">
            <v>Assets Shifting</v>
          </cell>
          <cell r="E318" t="str">
            <v>S1BB000214001</v>
          </cell>
          <cell r="F318">
            <v>45936</v>
          </cell>
          <cell r="G318" t="str">
            <v>SSS/2025-26/0111</v>
          </cell>
          <cell r="H318" t="str">
            <v>Str8 &amp; Secure Services</v>
          </cell>
          <cell r="I318" t="str">
            <v>AQIPG2144B</v>
          </cell>
          <cell r="J318" t="str">
            <v>07AQIPG2144B1ZF</v>
          </cell>
          <cell r="K318" t="str">
            <v>Village-Nobagaon(Near Budha Mandir) VIP Pamohi DPS Link Road Police Station-Garchuk Guwahati-781035</v>
          </cell>
          <cell r="L318" t="str">
            <v>Assam</v>
          </cell>
          <cell r="M318" t="str">
            <v>Meghamansions PVT Limited, 8th Mile, Baridua, RI-Bhoi, Khanapara, Meghalaya-793102.</v>
          </cell>
          <cell r="N318" t="str">
            <v>Meghalaya</v>
          </cell>
          <cell r="O318" t="str">
            <v>Assets Shifting</v>
          </cell>
          <cell r="P318">
            <v>3000</v>
          </cell>
          <cell r="Q318">
            <v>0</v>
          </cell>
          <cell r="R318">
            <v>0</v>
          </cell>
          <cell r="S318">
            <v>0</v>
          </cell>
          <cell r="T318">
            <v>540</v>
          </cell>
          <cell r="U318">
            <v>0</v>
          </cell>
          <cell r="V318">
            <v>3540</v>
          </cell>
          <cell r="W318">
            <v>30</v>
          </cell>
          <cell r="X318">
            <v>0.01</v>
          </cell>
          <cell r="Y318">
            <v>3510</v>
          </cell>
          <cell r="AC318">
            <v>3510</v>
          </cell>
          <cell r="AJ318">
            <v>3000</v>
          </cell>
        </row>
        <row r="319">
          <cell r="B319">
            <v>7137</v>
          </cell>
          <cell r="C319" t="str">
            <v>NCR-Rahul</v>
          </cell>
          <cell r="D319" t="str">
            <v>Assets Shifting</v>
          </cell>
          <cell r="E319" t="str">
            <v>S1NB000216022</v>
          </cell>
          <cell r="F319">
            <v>45936</v>
          </cell>
          <cell r="G319" t="str">
            <v>SSS/2025-26/0111</v>
          </cell>
          <cell r="H319" t="str">
            <v>Str8 &amp; Secure Services</v>
          </cell>
          <cell r="I319" t="str">
            <v>AQIPG2144B</v>
          </cell>
          <cell r="J319" t="str">
            <v>07AQIPG2144B1ZF</v>
          </cell>
          <cell r="K319" t="str">
            <v>Village-Nobagaon(Near Budha Mandir) VIP Pamohi DPS Link Road Police Station-Garchuk Guwahati-781035</v>
          </cell>
          <cell r="L319" t="str">
            <v>Assam</v>
          </cell>
          <cell r="M319" t="str">
            <v>Meghamansions PVT Limited, 8th Mile, Baridua, RI-Bhoi, Khanapara, Meghalaya-793102.</v>
          </cell>
          <cell r="N319" t="str">
            <v>Meghalaya</v>
          </cell>
          <cell r="O319" t="str">
            <v>Assets Shifting</v>
          </cell>
          <cell r="P319">
            <v>3000</v>
          </cell>
          <cell r="Q319">
            <v>0</v>
          </cell>
          <cell r="R319">
            <v>0</v>
          </cell>
          <cell r="S319">
            <v>0</v>
          </cell>
          <cell r="T319">
            <v>540</v>
          </cell>
          <cell r="U319">
            <v>0</v>
          </cell>
          <cell r="V319">
            <v>3540</v>
          </cell>
          <cell r="W319">
            <v>30</v>
          </cell>
          <cell r="X319">
            <v>0.01</v>
          </cell>
          <cell r="Y319">
            <v>3510</v>
          </cell>
          <cell r="AC319">
            <v>3510</v>
          </cell>
          <cell r="AJ319">
            <v>3000</v>
          </cell>
        </row>
        <row r="320">
          <cell r="B320">
            <v>7138</v>
          </cell>
          <cell r="C320" t="str">
            <v>NCR-Rahul</v>
          </cell>
          <cell r="D320" t="str">
            <v>Assets Shifting</v>
          </cell>
          <cell r="E320" t="str">
            <v>S1NB005839001</v>
          </cell>
          <cell r="F320">
            <v>45936</v>
          </cell>
          <cell r="G320" t="str">
            <v>SSS/2025-26/0111</v>
          </cell>
          <cell r="H320" t="str">
            <v>Str8 &amp; Secure Services</v>
          </cell>
          <cell r="I320" t="str">
            <v>AQIPG2144B</v>
          </cell>
          <cell r="J320" t="str">
            <v>07AQIPG2144B1ZF</v>
          </cell>
          <cell r="K320" t="str">
            <v>Village-Nobagaon(Near Budha Mandir) VIP Pamohi DPS Link Road Police Station-Garchuk Guwahati-781035</v>
          </cell>
          <cell r="L320" t="str">
            <v>Assam</v>
          </cell>
          <cell r="M320" t="str">
            <v>Meghamansions PVT Limited, 8th Mile, Baridua, RI-Bhoi, Khanapara, Meghalaya-793102.</v>
          </cell>
          <cell r="N320" t="str">
            <v>Meghalaya</v>
          </cell>
          <cell r="O320" t="str">
            <v>Assets Shifting</v>
          </cell>
          <cell r="P320">
            <v>3000</v>
          </cell>
          <cell r="Q320">
            <v>0</v>
          </cell>
          <cell r="R320">
            <v>0</v>
          </cell>
          <cell r="S320">
            <v>0</v>
          </cell>
          <cell r="T320">
            <v>540</v>
          </cell>
          <cell r="U320">
            <v>0</v>
          </cell>
          <cell r="V320">
            <v>3540</v>
          </cell>
          <cell r="W320">
            <v>30</v>
          </cell>
          <cell r="X320">
            <v>0.01</v>
          </cell>
          <cell r="Y320">
            <v>3510</v>
          </cell>
          <cell r="AC320">
            <v>3510</v>
          </cell>
          <cell r="AJ320">
            <v>3000</v>
          </cell>
        </row>
        <row r="321">
          <cell r="B321">
            <v>7139</v>
          </cell>
          <cell r="C321" t="str">
            <v>NCR-Rahul</v>
          </cell>
          <cell r="D321" t="str">
            <v>Assets Shifting</v>
          </cell>
          <cell r="E321" t="str">
            <v>S1NB018556001</v>
          </cell>
          <cell r="F321">
            <v>45936</v>
          </cell>
          <cell r="G321" t="str">
            <v>SSS/2025-26/0111</v>
          </cell>
          <cell r="H321" t="str">
            <v>Str8 &amp; Secure Services</v>
          </cell>
          <cell r="I321" t="str">
            <v>AQIPG2144B</v>
          </cell>
          <cell r="J321" t="str">
            <v>07AQIPG2144B1ZF</v>
          </cell>
          <cell r="K321" t="str">
            <v>Village-Nobagaon(Near Budha Mandir) VIP Pamohi DPS Link Road Police Station-Garchuk Guwahati-781035</v>
          </cell>
          <cell r="L321" t="str">
            <v>Assam</v>
          </cell>
          <cell r="M321" t="str">
            <v>Meghamansions PVT Limited, 8th Mile, Baridua, RI-Bhoi, Khanapara, Meghalaya-793102.</v>
          </cell>
          <cell r="N321" t="str">
            <v>Meghalaya</v>
          </cell>
          <cell r="O321" t="str">
            <v>Assets Shifting</v>
          </cell>
          <cell r="P321">
            <v>3000</v>
          </cell>
          <cell r="Q321">
            <v>0</v>
          </cell>
          <cell r="R321">
            <v>0</v>
          </cell>
          <cell r="S321">
            <v>0</v>
          </cell>
          <cell r="T321">
            <v>540</v>
          </cell>
          <cell r="U321">
            <v>0</v>
          </cell>
          <cell r="V321">
            <v>3540</v>
          </cell>
          <cell r="W321">
            <v>30</v>
          </cell>
          <cell r="X321">
            <v>0.01</v>
          </cell>
          <cell r="Y321">
            <v>3510</v>
          </cell>
          <cell r="AC321">
            <v>3510</v>
          </cell>
          <cell r="AJ321">
            <v>3000</v>
          </cell>
        </row>
        <row r="322">
          <cell r="B322">
            <v>7140</v>
          </cell>
          <cell r="C322" t="str">
            <v>NCR-Rahul</v>
          </cell>
          <cell r="D322" t="str">
            <v>Assets Shifting</v>
          </cell>
          <cell r="E322" t="str">
            <v>S1NB006483002</v>
          </cell>
          <cell r="F322">
            <v>45936</v>
          </cell>
          <cell r="G322" t="str">
            <v>SSS/2025-26/0111</v>
          </cell>
          <cell r="H322" t="str">
            <v>Str8 &amp; Secure Services</v>
          </cell>
          <cell r="I322" t="str">
            <v>AQIPG2144B</v>
          </cell>
          <cell r="J322" t="str">
            <v>07AQIPG2144B1ZF</v>
          </cell>
          <cell r="K322" t="str">
            <v>Village-Nobagaon(Near Budha Mandir) VIP Pamohi DPS Link Road Police Station-Garchuk Guwahati-781035</v>
          </cell>
          <cell r="L322" t="str">
            <v>Assam</v>
          </cell>
          <cell r="M322" t="str">
            <v>Meghamansions PVT Limited, 8th Mile, Baridua, RI-Bhoi, Khanapara, Meghalaya-793102.</v>
          </cell>
          <cell r="N322" t="str">
            <v>Meghalaya</v>
          </cell>
          <cell r="O322" t="str">
            <v>Assets Shifting</v>
          </cell>
          <cell r="P322">
            <v>3000</v>
          </cell>
          <cell r="Q322">
            <v>0</v>
          </cell>
          <cell r="R322">
            <v>0</v>
          </cell>
          <cell r="S322">
            <v>0</v>
          </cell>
          <cell r="T322">
            <v>540</v>
          </cell>
          <cell r="U322">
            <v>0</v>
          </cell>
          <cell r="V322">
            <v>3540</v>
          </cell>
          <cell r="W322">
            <v>30</v>
          </cell>
          <cell r="X322">
            <v>0.01</v>
          </cell>
          <cell r="Y322">
            <v>3510</v>
          </cell>
          <cell r="AC322">
            <v>3510</v>
          </cell>
          <cell r="AJ322">
            <v>3000</v>
          </cell>
        </row>
        <row r="323">
          <cell r="B323">
            <v>7141</v>
          </cell>
          <cell r="C323" t="str">
            <v>NCR-Rahul</v>
          </cell>
          <cell r="D323" t="str">
            <v>Assets Shifting</v>
          </cell>
          <cell r="E323" t="str">
            <v>S1NB004796002</v>
          </cell>
          <cell r="F323">
            <v>45936</v>
          </cell>
          <cell r="G323" t="str">
            <v>SSS/2025-26/0111</v>
          </cell>
          <cell r="H323" t="str">
            <v>Str8 &amp; Secure Services</v>
          </cell>
          <cell r="I323" t="str">
            <v>AQIPG2144B</v>
          </cell>
          <cell r="J323" t="str">
            <v>07AQIPG2144B1ZF</v>
          </cell>
          <cell r="K323" t="str">
            <v>Village-Nobagaon(Near Budha Mandir) VIP Pamohi DPS Link Road Police Station-Garchuk Guwahati-781035</v>
          </cell>
          <cell r="L323" t="str">
            <v>Assam</v>
          </cell>
          <cell r="M323" t="str">
            <v>Meghamansions PVT Limited, 8th Mile, Baridua, RI-Bhoi, Khanapara, Meghalaya-793102.</v>
          </cell>
          <cell r="N323" t="str">
            <v>Meghalaya</v>
          </cell>
          <cell r="O323" t="str">
            <v>Assets Shifting</v>
          </cell>
          <cell r="P323">
            <v>3000</v>
          </cell>
          <cell r="Q323">
            <v>0</v>
          </cell>
          <cell r="R323">
            <v>0</v>
          </cell>
          <cell r="S323">
            <v>0</v>
          </cell>
          <cell r="T323">
            <v>540</v>
          </cell>
          <cell r="U323">
            <v>0</v>
          </cell>
          <cell r="V323">
            <v>3540</v>
          </cell>
          <cell r="W323">
            <v>30</v>
          </cell>
          <cell r="X323">
            <v>0.01</v>
          </cell>
          <cell r="Y323">
            <v>3510</v>
          </cell>
          <cell r="AC323">
            <v>3510</v>
          </cell>
          <cell r="AJ323">
            <v>3000</v>
          </cell>
        </row>
        <row r="324">
          <cell r="B324">
            <v>7143</v>
          </cell>
          <cell r="C324" t="str">
            <v>NCR-Rahul</v>
          </cell>
          <cell r="D324" t="str">
            <v>Assets Shifting</v>
          </cell>
          <cell r="E324" t="str">
            <v>S1BB001328003</v>
          </cell>
          <cell r="F324">
            <v>45936</v>
          </cell>
          <cell r="G324" t="str">
            <v>SSS/2025-26/0111</v>
          </cell>
          <cell r="H324" t="str">
            <v>Str8 &amp; Secure Services</v>
          </cell>
          <cell r="I324" t="str">
            <v>AQIPG2144B</v>
          </cell>
          <cell r="J324" t="str">
            <v>07AQIPG2144B1ZF</v>
          </cell>
          <cell r="K324" t="str">
            <v>Village-Nobagaon(Near Budha Mandir) VIP Pamohi DPS Link Road Police Station-Garchuk Guwahati-781035</v>
          </cell>
          <cell r="L324" t="str">
            <v>Assam</v>
          </cell>
          <cell r="M324" t="str">
            <v>Meghamansions PVT Limited, 8th Mile, Baridua, RI-Bhoi, Khanapara, Meghalaya-793102.</v>
          </cell>
          <cell r="N324" t="str">
            <v>Meghalaya</v>
          </cell>
          <cell r="O324" t="str">
            <v>Assets Shifting</v>
          </cell>
          <cell r="P324">
            <v>3000</v>
          </cell>
          <cell r="Q324">
            <v>0</v>
          </cell>
          <cell r="R324">
            <v>0</v>
          </cell>
          <cell r="S324">
            <v>0</v>
          </cell>
          <cell r="T324">
            <v>540</v>
          </cell>
          <cell r="U324">
            <v>0</v>
          </cell>
          <cell r="V324">
            <v>3540</v>
          </cell>
          <cell r="W324">
            <v>30</v>
          </cell>
          <cell r="X324">
            <v>0.01</v>
          </cell>
          <cell r="Y324">
            <v>3510</v>
          </cell>
          <cell r="AC324">
            <v>3510</v>
          </cell>
          <cell r="AJ324">
            <v>3000</v>
          </cell>
        </row>
        <row r="325">
          <cell r="B325">
            <v>7145</v>
          </cell>
          <cell r="C325" t="str">
            <v>NCR-Rahul</v>
          </cell>
          <cell r="D325" t="str">
            <v>Assets Shifting</v>
          </cell>
          <cell r="E325" t="str">
            <v>S1NC009148001</v>
          </cell>
          <cell r="F325">
            <v>45936</v>
          </cell>
          <cell r="G325" t="str">
            <v>SSS/2025-26/0111</v>
          </cell>
          <cell r="H325" t="str">
            <v>Str8 &amp; Secure Services</v>
          </cell>
          <cell r="I325" t="str">
            <v>AQIPG2144B</v>
          </cell>
          <cell r="J325" t="str">
            <v>07AQIPG2144B1ZF</v>
          </cell>
          <cell r="K325" t="str">
            <v>Village-Nobagaon(Near Budha Mandir) VIP Pamohi DPS Link Road Police Station-Garchuk Guwahati-781035</v>
          </cell>
          <cell r="L325" t="str">
            <v>Assam</v>
          </cell>
          <cell r="M325" t="str">
            <v>Meghamansions PVT Limited, 8th Mile, Baridua, RI-Bhoi, Khanapara, Meghalaya-793102.</v>
          </cell>
          <cell r="N325" t="str">
            <v>Meghalaya</v>
          </cell>
          <cell r="O325" t="str">
            <v>Assets Shifting</v>
          </cell>
          <cell r="P325">
            <v>3000</v>
          </cell>
          <cell r="Q325">
            <v>0</v>
          </cell>
          <cell r="R325">
            <v>0</v>
          </cell>
          <cell r="S325">
            <v>0</v>
          </cell>
          <cell r="T325">
            <v>540</v>
          </cell>
          <cell r="U325">
            <v>0</v>
          </cell>
          <cell r="V325">
            <v>3540</v>
          </cell>
          <cell r="W325">
            <v>30</v>
          </cell>
          <cell r="X325">
            <v>0.01</v>
          </cell>
          <cell r="Y325">
            <v>3510</v>
          </cell>
          <cell r="AC325">
            <v>3510</v>
          </cell>
          <cell r="AJ325">
            <v>3000</v>
          </cell>
        </row>
        <row r="326">
          <cell r="B326">
            <v>7146</v>
          </cell>
          <cell r="C326" t="str">
            <v>NCR-Rahul</v>
          </cell>
          <cell r="D326" t="str">
            <v>Assets Shifting</v>
          </cell>
          <cell r="E326" t="str">
            <v>S1NB006092135</v>
          </cell>
          <cell r="F326">
            <v>45936</v>
          </cell>
          <cell r="G326" t="str">
            <v>SSS/2025-26/0111</v>
          </cell>
          <cell r="H326" t="str">
            <v>Str8 &amp; Secure Services</v>
          </cell>
          <cell r="I326" t="str">
            <v>AQIPG2144B</v>
          </cell>
          <cell r="J326" t="str">
            <v>07AQIPG2144B1ZF</v>
          </cell>
          <cell r="K326" t="str">
            <v>Village-Nobagaon(Near Budha Mandir) VIP Pamohi DPS Link Road Police Station-Garchuk Guwahati-781035</v>
          </cell>
          <cell r="L326" t="str">
            <v>Assam</v>
          </cell>
          <cell r="M326" t="str">
            <v>Meghamansions PVT Limited, 8th Mile, Baridua, RI-Bhoi, Khanapara, Meghalaya-793102.</v>
          </cell>
          <cell r="N326" t="str">
            <v>Meghalaya</v>
          </cell>
          <cell r="O326" t="str">
            <v>Assets Shifting</v>
          </cell>
          <cell r="P326">
            <v>3000</v>
          </cell>
          <cell r="Q326">
            <v>0</v>
          </cell>
          <cell r="R326">
            <v>0</v>
          </cell>
          <cell r="S326">
            <v>0</v>
          </cell>
          <cell r="T326">
            <v>540</v>
          </cell>
          <cell r="U326">
            <v>0</v>
          </cell>
          <cell r="V326">
            <v>3540</v>
          </cell>
          <cell r="W326">
            <v>30</v>
          </cell>
          <cell r="X326">
            <v>0.01</v>
          </cell>
          <cell r="Y326">
            <v>3510</v>
          </cell>
          <cell r="AC326">
            <v>3510</v>
          </cell>
          <cell r="AJ326">
            <v>3000</v>
          </cell>
        </row>
        <row r="327">
          <cell r="B327">
            <v>7147</v>
          </cell>
          <cell r="C327" t="str">
            <v>NCR-Rahul</v>
          </cell>
          <cell r="D327" t="str">
            <v>Assets Shifting</v>
          </cell>
          <cell r="E327" t="str">
            <v>S1NB005818010</v>
          </cell>
          <cell r="F327">
            <v>45936</v>
          </cell>
          <cell r="G327" t="str">
            <v>SSS/2025-26/0111</v>
          </cell>
          <cell r="H327" t="str">
            <v>Str8 &amp; Secure Services</v>
          </cell>
          <cell r="I327" t="str">
            <v>AQIPG2144B</v>
          </cell>
          <cell r="J327" t="str">
            <v>07AQIPG2144B1ZF</v>
          </cell>
          <cell r="K327" t="str">
            <v>Village-Nobagaon(Near Budha Mandir) VIP Pamohi DPS Link Road Police Station-Garchuk Guwahati-781035</v>
          </cell>
          <cell r="L327" t="str">
            <v>Assam</v>
          </cell>
          <cell r="M327" t="str">
            <v>Meghamansions PVT Limited, 8th Mile, Baridua, RI-Bhoi, Khanapara, Meghalaya-793102.</v>
          </cell>
          <cell r="N327" t="str">
            <v>Meghalaya</v>
          </cell>
          <cell r="O327" t="str">
            <v>Assets Shifting</v>
          </cell>
          <cell r="P327">
            <v>3000</v>
          </cell>
          <cell r="Q327">
            <v>0</v>
          </cell>
          <cell r="R327">
            <v>0</v>
          </cell>
          <cell r="S327">
            <v>0</v>
          </cell>
          <cell r="T327">
            <v>540</v>
          </cell>
          <cell r="U327">
            <v>0</v>
          </cell>
          <cell r="V327">
            <v>3540</v>
          </cell>
          <cell r="W327">
            <v>30</v>
          </cell>
          <cell r="X327">
            <v>0.01</v>
          </cell>
          <cell r="Y327">
            <v>3510</v>
          </cell>
          <cell r="AC327">
            <v>3510</v>
          </cell>
          <cell r="AJ327">
            <v>3000</v>
          </cell>
        </row>
        <row r="328">
          <cell r="B328">
            <v>7149</v>
          </cell>
          <cell r="C328" t="str">
            <v>NCR-Rahul</v>
          </cell>
          <cell r="D328" t="str">
            <v>Assets Shifting</v>
          </cell>
          <cell r="E328" t="str">
            <v>S1NB011794001</v>
          </cell>
          <cell r="F328">
            <v>45936</v>
          </cell>
          <cell r="G328" t="str">
            <v>SSS/2025-26/0111</v>
          </cell>
          <cell r="H328" t="str">
            <v>Str8 &amp; Secure Services</v>
          </cell>
          <cell r="I328" t="str">
            <v>AQIPG2144B</v>
          </cell>
          <cell r="J328" t="str">
            <v>07AQIPG2144B1ZF</v>
          </cell>
          <cell r="K328" t="str">
            <v>Village-Nobagaon(Near Budha Mandir) VIP Pamohi DPS Link Road Police Station-Garchuk Guwahati-781035</v>
          </cell>
          <cell r="L328" t="str">
            <v>Assam</v>
          </cell>
          <cell r="M328" t="str">
            <v>Meghamansions PVT Limited, 8th Mile, Baridua, RI-Bhoi, Khanapara, Meghalaya-793102.</v>
          </cell>
          <cell r="N328" t="str">
            <v>Meghalaya</v>
          </cell>
          <cell r="O328" t="str">
            <v>Assets Shifting</v>
          </cell>
          <cell r="P328">
            <v>3000</v>
          </cell>
          <cell r="Q328">
            <v>0</v>
          </cell>
          <cell r="R328">
            <v>0</v>
          </cell>
          <cell r="S328">
            <v>0</v>
          </cell>
          <cell r="T328">
            <v>540</v>
          </cell>
          <cell r="U328">
            <v>0</v>
          </cell>
          <cell r="V328">
            <v>3540</v>
          </cell>
          <cell r="W328">
            <v>30</v>
          </cell>
          <cell r="X328">
            <v>0.01</v>
          </cell>
          <cell r="Y328">
            <v>3510</v>
          </cell>
          <cell r="AC328">
            <v>3510</v>
          </cell>
          <cell r="AJ328">
            <v>3000</v>
          </cell>
        </row>
        <row r="329">
          <cell r="B329">
            <v>7152</v>
          </cell>
          <cell r="C329" t="str">
            <v>NCR-Rahul</v>
          </cell>
          <cell r="D329" t="str">
            <v>Assets Shifting</v>
          </cell>
          <cell r="E329" t="str">
            <v>S1NB007620003</v>
          </cell>
          <cell r="F329">
            <v>45936</v>
          </cell>
          <cell r="G329" t="str">
            <v>SSS/2025-26/0111</v>
          </cell>
          <cell r="H329" t="str">
            <v>Str8 &amp; Secure Services</v>
          </cell>
          <cell r="I329" t="str">
            <v>AQIPG2144B</v>
          </cell>
          <cell r="J329" t="str">
            <v>07AQIPG2144B1ZF</v>
          </cell>
          <cell r="K329" t="str">
            <v>Village-Nobagaon(Near Budha Mandir) VIP Pamohi DPS Link Road Police Station-Garchuk Guwahati-781035</v>
          </cell>
          <cell r="L329" t="str">
            <v>Assam</v>
          </cell>
          <cell r="M329" t="str">
            <v>Meghamansions PVT Limited, 8th Mile, Baridua, RI-Bhoi, Khanapara, Meghalaya-793102.</v>
          </cell>
          <cell r="N329" t="str">
            <v>Meghalaya</v>
          </cell>
          <cell r="O329" t="str">
            <v>Assets Shifting</v>
          </cell>
          <cell r="P329">
            <v>3000</v>
          </cell>
          <cell r="Q329">
            <v>0</v>
          </cell>
          <cell r="R329">
            <v>0</v>
          </cell>
          <cell r="S329">
            <v>0</v>
          </cell>
          <cell r="T329">
            <v>540</v>
          </cell>
          <cell r="U329">
            <v>0</v>
          </cell>
          <cell r="V329">
            <v>3540</v>
          </cell>
          <cell r="W329">
            <v>30</v>
          </cell>
          <cell r="X329">
            <v>0.01</v>
          </cell>
          <cell r="Y329">
            <v>3510</v>
          </cell>
          <cell r="AC329">
            <v>3510</v>
          </cell>
          <cell r="AJ329">
            <v>3000</v>
          </cell>
        </row>
        <row r="330">
          <cell r="B330">
            <v>7154</v>
          </cell>
          <cell r="C330" t="str">
            <v>NCR-Rahul</v>
          </cell>
          <cell r="D330" t="str">
            <v>Assets Shifting</v>
          </cell>
          <cell r="E330" t="str">
            <v>S1NB016905002</v>
          </cell>
          <cell r="F330">
            <v>45936</v>
          </cell>
          <cell r="G330" t="str">
            <v>SSS/2025-26/0111</v>
          </cell>
          <cell r="H330" t="str">
            <v>Str8 &amp; Secure Services</v>
          </cell>
          <cell r="I330" t="str">
            <v>AQIPG2144B</v>
          </cell>
          <cell r="J330" t="str">
            <v>07AQIPG2144B1ZF</v>
          </cell>
          <cell r="K330" t="str">
            <v>Village-Nobagaon(Near Budha Mandir) VIP Pamohi DPS Link Road Police Station-Garchuk Guwahati-781035</v>
          </cell>
          <cell r="L330" t="str">
            <v>Assam</v>
          </cell>
          <cell r="M330" t="str">
            <v>Meghamansions PVT Limited, 8th Mile, Baridua, RI-Bhoi, Khanapara, Meghalaya-793102.</v>
          </cell>
          <cell r="N330" t="str">
            <v>Meghalaya</v>
          </cell>
          <cell r="O330" t="str">
            <v>Assets Shifting</v>
          </cell>
          <cell r="P330">
            <v>3000</v>
          </cell>
          <cell r="Q330">
            <v>0</v>
          </cell>
          <cell r="R330">
            <v>0</v>
          </cell>
          <cell r="S330">
            <v>0</v>
          </cell>
          <cell r="T330">
            <v>540</v>
          </cell>
          <cell r="U330">
            <v>0</v>
          </cell>
          <cell r="V330">
            <v>3540</v>
          </cell>
          <cell r="W330">
            <v>30</v>
          </cell>
          <cell r="X330">
            <v>0.01</v>
          </cell>
          <cell r="Y330">
            <v>3510</v>
          </cell>
          <cell r="AC330">
            <v>3510</v>
          </cell>
          <cell r="AJ330">
            <v>3000</v>
          </cell>
        </row>
        <row r="331">
          <cell r="B331">
            <v>7155</v>
          </cell>
          <cell r="C331" t="str">
            <v>NCR-Rahul</v>
          </cell>
          <cell r="D331" t="str">
            <v>Assets Shifting</v>
          </cell>
          <cell r="E331" t="str">
            <v>S1NB000181250</v>
          </cell>
          <cell r="F331">
            <v>45936</v>
          </cell>
          <cell r="G331" t="str">
            <v>SSS/2025-26/0111</v>
          </cell>
          <cell r="H331" t="str">
            <v>Str8 &amp; Secure Services</v>
          </cell>
          <cell r="I331" t="str">
            <v>AQIPG2144B</v>
          </cell>
          <cell r="J331" t="str">
            <v>07AQIPG2144B1ZF</v>
          </cell>
          <cell r="K331" t="str">
            <v>Village-Nobagaon(Near Budha Mandir) VIP Pamohi DPS Link Road Police Station-Garchuk Guwahati-781035</v>
          </cell>
          <cell r="L331" t="str">
            <v>Assam</v>
          </cell>
          <cell r="M331" t="str">
            <v>Meghamansions PVT Limited, 8th Mile, Baridua, RI-Bhoi, Khanapara, Meghalaya-793102.</v>
          </cell>
          <cell r="N331" t="str">
            <v>Meghalaya</v>
          </cell>
          <cell r="O331" t="str">
            <v>Assets Shifting</v>
          </cell>
          <cell r="P331">
            <v>3000</v>
          </cell>
          <cell r="Q331">
            <v>0</v>
          </cell>
          <cell r="R331">
            <v>0</v>
          </cell>
          <cell r="S331">
            <v>0</v>
          </cell>
          <cell r="T331">
            <v>540</v>
          </cell>
          <cell r="U331">
            <v>0</v>
          </cell>
          <cell r="V331">
            <v>3540</v>
          </cell>
          <cell r="W331">
            <v>30</v>
          </cell>
          <cell r="X331">
            <v>0.01</v>
          </cell>
          <cell r="Y331">
            <v>3510</v>
          </cell>
          <cell r="AC331">
            <v>3510</v>
          </cell>
          <cell r="AJ331">
            <v>3000</v>
          </cell>
        </row>
        <row r="332">
          <cell r="B332">
            <v>7156</v>
          </cell>
          <cell r="C332" t="str">
            <v>NCR-Rahul</v>
          </cell>
          <cell r="D332" t="str">
            <v>Assets Shifting</v>
          </cell>
          <cell r="E332" t="str">
            <v>S1NB018741001</v>
          </cell>
          <cell r="F332">
            <v>45936</v>
          </cell>
          <cell r="G332" t="str">
            <v>SSS/2025-26/0111</v>
          </cell>
          <cell r="H332" t="str">
            <v>Str8 &amp; Secure Services</v>
          </cell>
          <cell r="I332" t="str">
            <v>AQIPG2144B</v>
          </cell>
          <cell r="J332" t="str">
            <v>07AQIPG2144B1ZF</v>
          </cell>
          <cell r="K332" t="str">
            <v>Village-Nobagaon(Near Budha Mandir) VIP Pamohi DPS Link Road Police Station-Garchuk Guwahati-781035</v>
          </cell>
          <cell r="L332" t="str">
            <v>Assam</v>
          </cell>
          <cell r="M332" t="str">
            <v>Meghamansions PVT Limited, 8th Mile, Baridua, RI-Bhoi, Khanapara, Meghalaya-793102.</v>
          </cell>
          <cell r="N332" t="str">
            <v>Meghalaya</v>
          </cell>
          <cell r="O332" t="str">
            <v>Assets Shifting</v>
          </cell>
          <cell r="P332">
            <v>3000</v>
          </cell>
          <cell r="Q332">
            <v>0</v>
          </cell>
          <cell r="R332">
            <v>0</v>
          </cell>
          <cell r="S332">
            <v>0</v>
          </cell>
          <cell r="T332">
            <v>540</v>
          </cell>
          <cell r="U332">
            <v>0</v>
          </cell>
          <cell r="V332">
            <v>3540</v>
          </cell>
          <cell r="W332">
            <v>30</v>
          </cell>
          <cell r="X332">
            <v>0.01</v>
          </cell>
          <cell r="Y332">
            <v>3510</v>
          </cell>
          <cell r="AC332">
            <v>3510</v>
          </cell>
          <cell r="AJ332">
            <v>3000</v>
          </cell>
        </row>
        <row r="333">
          <cell r="B333">
            <v>7157</v>
          </cell>
          <cell r="C333" t="str">
            <v>NCR-Rahul</v>
          </cell>
          <cell r="D333" t="str">
            <v>Assets Shifting</v>
          </cell>
          <cell r="E333" t="str">
            <v>S1NB005243003</v>
          </cell>
          <cell r="F333">
            <v>45936</v>
          </cell>
          <cell r="G333" t="str">
            <v>SSS/2025-26/0111</v>
          </cell>
          <cell r="H333" t="str">
            <v>Str8 &amp; Secure Services</v>
          </cell>
          <cell r="I333" t="str">
            <v>AQIPG2144B</v>
          </cell>
          <cell r="J333" t="str">
            <v>07AQIPG2144B1ZF</v>
          </cell>
          <cell r="K333" t="str">
            <v>Village-Nobagaon(Near Budha Mandir) VIP Pamohi DPS Link Road Police Station-Garchuk Guwahati-781035</v>
          </cell>
          <cell r="L333" t="str">
            <v>Assam</v>
          </cell>
          <cell r="M333" t="str">
            <v>Meghamansions PVT Limited, 8th Mile, Baridua, RI-Bhoi, Khanapara, Meghalaya-793102.</v>
          </cell>
          <cell r="N333" t="str">
            <v>Meghalaya</v>
          </cell>
          <cell r="O333" t="str">
            <v>Assets Shifting</v>
          </cell>
          <cell r="P333">
            <v>3000</v>
          </cell>
          <cell r="Q333">
            <v>0</v>
          </cell>
          <cell r="R333">
            <v>0</v>
          </cell>
          <cell r="S333">
            <v>0</v>
          </cell>
          <cell r="T333">
            <v>540</v>
          </cell>
          <cell r="U333">
            <v>0</v>
          </cell>
          <cell r="V333">
            <v>3540</v>
          </cell>
          <cell r="W333">
            <v>30</v>
          </cell>
          <cell r="X333">
            <v>0.01</v>
          </cell>
          <cell r="Y333">
            <v>3510</v>
          </cell>
          <cell r="AC333">
            <v>3510</v>
          </cell>
          <cell r="AJ333">
            <v>3000</v>
          </cell>
        </row>
        <row r="334">
          <cell r="B334">
            <v>7158</v>
          </cell>
          <cell r="C334" t="str">
            <v>NCR-Rahul</v>
          </cell>
          <cell r="D334" t="str">
            <v>Assets Shifting</v>
          </cell>
          <cell r="E334" t="str">
            <v>S1BB009341003</v>
          </cell>
          <cell r="F334">
            <v>45936</v>
          </cell>
          <cell r="G334" t="str">
            <v>SSS/2025-26/0111</v>
          </cell>
          <cell r="H334" t="str">
            <v>Str8 &amp; Secure Services</v>
          </cell>
          <cell r="I334" t="str">
            <v>AQIPG2144B</v>
          </cell>
          <cell r="J334" t="str">
            <v>07AQIPG2144B1ZF</v>
          </cell>
          <cell r="K334" t="str">
            <v>Village-Nobagaon(Near Budha Mandir) VIP Pamohi DPS Link Road Police Station-Garchuk Guwahati-781035</v>
          </cell>
          <cell r="L334" t="str">
            <v>Assam</v>
          </cell>
          <cell r="M334" t="str">
            <v>Meghamansions PVT Limited, 8th Mile, Baridua, RI-Bhoi, Khanapara, Meghalaya-793102.</v>
          </cell>
          <cell r="N334" t="str">
            <v>Meghalaya</v>
          </cell>
          <cell r="O334" t="str">
            <v>Assets Shifting</v>
          </cell>
          <cell r="P334">
            <v>3000</v>
          </cell>
          <cell r="Q334">
            <v>0</v>
          </cell>
          <cell r="R334">
            <v>0</v>
          </cell>
          <cell r="S334">
            <v>0</v>
          </cell>
          <cell r="T334">
            <v>540</v>
          </cell>
          <cell r="U334">
            <v>0</v>
          </cell>
          <cell r="V334">
            <v>3540</v>
          </cell>
          <cell r="W334">
            <v>30</v>
          </cell>
          <cell r="X334">
            <v>0.01</v>
          </cell>
          <cell r="Y334">
            <v>3510</v>
          </cell>
          <cell r="AC334">
            <v>3510</v>
          </cell>
          <cell r="AJ334">
            <v>3000</v>
          </cell>
        </row>
        <row r="335">
          <cell r="B335">
            <v>7160</v>
          </cell>
          <cell r="C335" t="str">
            <v>NCR-Rahul</v>
          </cell>
          <cell r="D335" t="str">
            <v>Assets Shifting</v>
          </cell>
          <cell r="E335" t="str">
            <v>S1BB001729001</v>
          </cell>
          <cell r="F335">
            <v>45936</v>
          </cell>
          <cell r="G335" t="str">
            <v>SSS/2025-26/0111</v>
          </cell>
          <cell r="H335" t="str">
            <v>Str8 &amp; Secure Services</v>
          </cell>
          <cell r="I335" t="str">
            <v>AQIPG2144B</v>
          </cell>
          <cell r="J335" t="str">
            <v>07AQIPG2144B1ZF</v>
          </cell>
          <cell r="K335" t="str">
            <v>Village-Nobagaon(Near Budha Mandir) VIP Pamohi DPS Link Road Police Station-Garchuk Guwahati-781035</v>
          </cell>
          <cell r="L335" t="str">
            <v>Assam</v>
          </cell>
          <cell r="M335" t="str">
            <v>Meghamansions PVT Limited, 8th Mile, Baridua, RI-Bhoi, Khanapara, Meghalaya-793102.</v>
          </cell>
          <cell r="N335" t="str">
            <v>Meghalaya</v>
          </cell>
          <cell r="O335" t="str">
            <v>Assets Shifting</v>
          </cell>
          <cell r="P335">
            <v>3000</v>
          </cell>
          <cell r="Q335">
            <v>0</v>
          </cell>
          <cell r="R335">
            <v>0</v>
          </cell>
          <cell r="S335">
            <v>0</v>
          </cell>
          <cell r="T335">
            <v>540</v>
          </cell>
          <cell r="U335">
            <v>0</v>
          </cell>
          <cell r="V335">
            <v>3540</v>
          </cell>
          <cell r="W335">
            <v>30</v>
          </cell>
          <cell r="X335">
            <v>0.01</v>
          </cell>
          <cell r="Y335">
            <v>3510</v>
          </cell>
          <cell r="AC335">
            <v>3510</v>
          </cell>
          <cell r="AJ335">
            <v>3000</v>
          </cell>
        </row>
        <row r="336">
          <cell r="B336">
            <v>7161</v>
          </cell>
          <cell r="C336" t="str">
            <v>NCR-Rahul</v>
          </cell>
          <cell r="D336" t="str">
            <v>Assets Shifting</v>
          </cell>
          <cell r="E336" t="str">
            <v>S1NB005840001</v>
          </cell>
          <cell r="F336">
            <v>45936</v>
          </cell>
          <cell r="G336" t="str">
            <v>SSS/2025-26/0111</v>
          </cell>
          <cell r="H336" t="str">
            <v>Str8 &amp; Secure Services</v>
          </cell>
          <cell r="I336" t="str">
            <v>AQIPG2144B</v>
          </cell>
          <cell r="J336" t="str">
            <v>07AQIPG2144B1ZF</v>
          </cell>
          <cell r="K336" t="str">
            <v>Village-Nobagaon(Near Budha Mandir) VIP Pamohi DPS Link Road Police Station-Garchuk Guwahati-781035</v>
          </cell>
          <cell r="L336" t="str">
            <v>Assam</v>
          </cell>
          <cell r="M336" t="str">
            <v>Meghamansions PVT Limited, 8th Mile, Baridua, RI-Bhoi, Khanapara, Meghalaya-793102.</v>
          </cell>
          <cell r="N336" t="str">
            <v>Meghalaya</v>
          </cell>
          <cell r="O336" t="str">
            <v>Assets Shifting</v>
          </cell>
          <cell r="P336">
            <v>3000</v>
          </cell>
          <cell r="Q336">
            <v>0</v>
          </cell>
          <cell r="R336">
            <v>0</v>
          </cell>
          <cell r="S336">
            <v>0</v>
          </cell>
          <cell r="T336">
            <v>540</v>
          </cell>
          <cell r="U336">
            <v>0</v>
          </cell>
          <cell r="V336">
            <v>3540</v>
          </cell>
          <cell r="W336">
            <v>30</v>
          </cell>
          <cell r="X336">
            <v>0.01</v>
          </cell>
          <cell r="Y336">
            <v>3510</v>
          </cell>
          <cell r="AC336">
            <v>3510</v>
          </cell>
          <cell r="AJ336">
            <v>3000</v>
          </cell>
        </row>
        <row r="337">
          <cell r="B337">
            <v>7163</v>
          </cell>
          <cell r="C337" t="str">
            <v>NCR-Rahul</v>
          </cell>
          <cell r="D337" t="str">
            <v>Assets Shifting</v>
          </cell>
          <cell r="E337" t="str">
            <v>S1NB018807005</v>
          </cell>
          <cell r="F337">
            <v>45936</v>
          </cell>
          <cell r="G337" t="str">
            <v>SSS/2025-26/0111</v>
          </cell>
          <cell r="H337" t="str">
            <v>Str8 &amp; Secure Services</v>
          </cell>
          <cell r="I337" t="str">
            <v>AQIPG2144B</v>
          </cell>
          <cell r="J337" t="str">
            <v>07AQIPG2144B1ZF</v>
          </cell>
          <cell r="K337" t="str">
            <v>Village-Nobagaon(Near Budha Mandir) VIP Pamohi DPS Link Road Police Station-Garchuk Guwahati-781035</v>
          </cell>
          <cell r="L337" t="str">
            <v>Assam</v>
          </cell>
          <cell r="M337" t="str">
            <v>Meghamansions PVT Limited, 8th Mile, Baridua, RI-Bhoi, Khanapara, Meghalaya-793102.</v>
          </cell>
          <cell r="N337" t="str">
            <v>Meghalaya</v>
          </cell>
          <cell r="O337" t="str">
            <v>Assets Shifting</v>
          </cell>
          <cell r="P337">
            <v>3000</v>
          </cell>
          <cell r="Q337">
            <v>0</v>
          </cell>
          <cell r="R337">
            <v>0</v>
          </cell>
          <cell r="S337">
            <v>0</v>
          </cell>
          <cell r="T337">
            <v>540</v>
          </cell>
          <cell r="U337">
            <v>0</v>
          </cell>
          <cell r="V337">
            <v>3540</v>
          </cell>
          <cell r="W337">
            <v>30</v>
          </cell>
          <cell r="X337">
            <v>0.01</v>
          </cell>
          <cell r="Y337">
            <v>3510</v>
          </cell>
          <cell r="AC337">
            <v>3510</v>
          </cell>
          <cell r="AJ337">
            <v>3000</v>
          </cell>
        </row>
        <row r="338">
          <cell r="B338">
            <v>7164</v>
          </cell>
          <cell r="C338" t="str">
            <v>NCR-Rahul</v>
          </cell>
          <cell r="D338" t="str">
            <v>Assets Shifting</v>
          </cell>
          <cell r="E338" t="str">
            <v>S1NB009140009</v>
          </cell>
          <cell r="F338">
            <v>45936</v>
          </cell>
          <cell r="G338" t="str">
            <v>SSS/2025-26/0111</v>
          </cell>
          <cell r="H338" t="str">
            <v>Str8 &amp; Secure Services</v>
          </cell>
          <cell r="I338" t="str">
            <v>AQIPG2144B</v>
          </cell>
          <cell r="J338" t="str">
            <v>07AQIPG2144B1ZF</v>
          </cell>
          <cell r="K338" t="str">
            <v>Village-Nobagaon(Near Budha Mandir) VIP Pamohi DPS Link Road Police Station-Garchuk Guwahati-781035</v>
          </cell>
          <cell r="L338" t="str">
            <v>Assam</v>
          </cell>
          <cell r="M338" t="str">
            <v>Meghamansions PVT Limited, 8th Mile, Baridua, RI-Bhoi, Khanapara, Meghalaya-793102.</v>
          </cell>
          <cell r="N338" t="str">
            <v>Meghalaya</v>
          </cell>
          <cell r="O338" t="str">
            <v>Assets Shifting</v>
          </cell>
          <cell r="P338">
            <v>3000</v>
          </cell>
          <cell r="Q338">
            <v>0</v>
          </cell>
          <cell r="R338">
            <v>0</v>
          </cell>
          <cell r="S338">
            <v>0</v>
          </cell>
          <cell r="T338">
            <v>540</v>
          </cell>
          <cell r="U338">
            <v>0</v>
          </cell>
          <cell r="V338">
            <v>3540</v>
          </cell>
          <cell r="W338">
            <v>30</v>
          </cell>
          <cell r="X338">
            <v>0.01</v>
          </cell>
          <cell r="Y338">
            <v>3510</v>
          </cell>
          <cell r="AC338">
            <v>3510</v>
          </cell>
          <cell r="AJ338">
            <v>3000</v>
          </cell>
        </row>
        <row r="339">
          <cell r="B339">
            <v>7167</v>
          </cell>
          <cell r="C339" t="str">
            <v>NCR-Rahul</v>
          </cell>
          <cell r="D339" t="str">
            <v>Assets Shifting</v>
          </cell>
          <cell r="E339" t="str">
            <v>S1NB009129001</v>
          </cell>
          <cell r="F339">
            <v>45936</v>
          </cell>
          <cell r="G339" t="str">
            <v>SSS/2025-26/0111</v>
          </cell>
          <cell r="H339" t="str">
            <v>Str8 &amp; Secure Services</v>
          </cell>
          <cell r="I339" t="str">
            <v>AQIPG2144B</v>
          </cell>
          <cell r="J339" t="str">
            <v>07AQIPG2144B1ZF</v>
          </cell>
          <cell r="K339" t="str">
            <v>Village-Nobagaon(Near Budha Mandir) VIP Pamohi DPS Link Road Police Station-Garchuk Guwahati-781035</v>
          </cell>
          <cell r="L339" t="str">
            <v>Assam</v>
          </cell>
          <cell r="M339" t="str">
            <v>Meghamansions PVT Limited, 8th Mile, Baridua, RI-Bhoi, Khanapara, Meghalaya-793102.</v>
          </cell>
          <cell r="N339" t="str">
            <v>Meghalaya</v>
          </cell>
          <cell r="O339" t="str">
            <v>Assets Shifting</v>
          </cell>
          <cell r="P339">
            <v>3000</v>
          </cell>
          <cell r="Q339">
            <v>0</v>
          </cell>
          <cell r="R339">
            <v>0</v>
          </cell>
          <cell r="S339">
            <v>0</v>
          </cell>
          <cell r="T339">
            <v>540</v>
          </cell>
          <cell r="U339">
            <v>0</v>
          </cell>
          <cell r="V339">
            <v>3540</v>
          </cell>
          <cell r="W339">
            <v>30</v>
          </cell>
          <cell r="X339">
            <v>0.01</v>
          </cell>
          <cell r="Y339">
            <v>3510</v>
          </cell>
          <cell r="AC339">
            <v>3510</v>
          </cell>
          <cell r="AJ339">
            <v>3000</v>
          </cell>
        </row>
        <row r="340">
          <cell r="B340">
            <v>7168</v>
          </cell>
          <cell r="C340" t="str">
            <v>NCR-Rahul</v>
          </cell>
          <cell r="D340" t="str">
            <v>Assets Shifting</v>
          </cell>
          <cell r="E340" t="str">
            <v>S1NB005737147</v>
          </cell>
          <cell r="F340">
            <v>45936</v>
          </cell>
          <cell r="G340" t="str">
            <v>SSS/2025-26/0111</v>
          </cell>
          <cell r="H340" t="str">
            <v>Str8 &amp; Secure Services</v>
          </cell>
          <cell r="I340" t="str">
            <v>AQIPG2144B</v>
          </cell>
          <cell r="J340" t="str">
            <v>07AQIPG2144B1ZF</v>
          </cell>
          <cell r="K340" t="str">
            <v>Village-Nobagaon(Near Budha Mandir) VIP Pamohi DPS Link Road Police Station-Garchuk Guwahati-781035</v>
          </cell>
          <cell r="L340" t="str">
            <v>Assam</v>
          </cell>
          <cell r="M340" t="str">
            <v>Meghamansions PVT Limited, 8th Mile, Baridua, RI-Bhoi, Khanapara, Meghalaya-793102.</v>
          </cell>
          <cell r="N340" t="str">
            <v>Meghalaya</v>
          </cell>
          <cell r="O340" t="str">
            <v>Assets Shifting</v>
          </cell>
          <cell r="P340">
            <v>3000</v>
          </cell>
          <cell r="Q340">
            <v>0</v>
          </cell>
          <cell r="R340">
            <v>0</v>
          </cell>
          <cell r="S340">
            <v>0</v>
          </cell>
          <cell r="T340">
            <v>540</v>
          </cell>
          <cell r="U340">
            <v>0</v>
          </cell>
          <cell r="V340">
            <v>3540</v>
          </cell>
          <cell r="W340">
            <v>30</v>
          </cell>
          <cell r="X340">
            <v>0.01</v>
          </cell>
          <cell r="Y340">
            <v>3510</v>
          </cell>
          <cell r="AC340">
            <v>3510</v>
          </cell>
          <cell r="AJ340">
            <v>3000</v>
          </cell>
        </row>
        <row r="341">
          <cell r="B341">
            <v>7169</v>
          </cell>
          <cell r="C341" t="str">
            <v>NCR-Rahul</v>
          </cell>
          <cell r="D341" t="str">
            <v>Assets Shifting</v>
          </cell>
          <cell r="E341" t="str">
            <v>S1BB003604003</v>
          </cell>
          <cell r="F341">
            <v>45936</v>
          </cell>
          <cell r="G341" t="str">
            <v>SSS/2025-26/0111</v>
          </cell>
          <cell r="H341" t="str">
            <v>Str8 &amp; Secure Services</v>
          </cell>
          <cell r="I341" t="str">
            <v>AQIPG2144B</v>
          </cell>
          <cell r="J341" t="str">
            <v>07AQIPG2144B1ZF</v>
          </cell>
          <cell r="K341" t="str">
            <v>Village-Nobagaon(Near Budha Mandir) VIP Pamohi DPS Link Road Police Station-Garchuk Guwahati-781035</v>
          </cell>
          <cell r="L341" t="str">
            <v>Assam</v>
          </cell>
          <cell r="M341" t="str">
            <v>Meghamansions PVT Limited, 8th Mile, Baridua, RI-Bhoi, Khanapara, Meghalaya-793102.</v>
          </cell>
          <cell r="N341" t="str">
            <v>Meghalaya</v>
          </cell>
          <cell r="O341" t="str">
            <v>Assets Shifting</v>
          </cell>
          <cell r="P341">
            <v>3000</v>
          </cell>
          <cell r="Q341">
            <v>0</v>
          </cell>
          <cell r="R341">
            <v>0</v>
          </cell>
          <cell r="S341">
            <v>0</v>
          </cell>
          <cell r="T341">
            <v>540</v>
          </cell>
          <cell r="U341">
            <v>0</v>
          </cell>
          <cell r="V341">
            <v>3540</v>
          </cell>
          <cell r="W341">
            <v>30</v>
          </cell>
          <cell r="X341">
            <v>0.01</v>
          </cell>
          <cell r="Y341">
            <v>3510</v>
          </cell>
          <cell r="AC341">
            <v>3510</v>
          </cell>
          <cell r="AJ341">
            <v>3000</v>
          </cell>
        </row>
        <row r="342">
          <cell r="B342">
            <v>7170</v>
          </cell>
          <cell r="C342" t="str">
            <v>NCR-Rahul</v>
          </cell>
          <cell r="D342" t="str">
            <v>Assets Shifting</v>
          </cell>
          <cell r="E342" t="str">
            <v>S1NB018512001</v>
          </cell>
          <cell r="F342">
            <v>45936</v>
          </cell>
          <cell r="G342" t="str">
            <v>SSS/2025-26/0111</v>
          </cell>
          <cell r="H342" t="str">
            <v>Str8 &amp; Secure Services</v>
          </cell>
          <cell r="I342" t="str">
            <v>AQIPG2144B</v>
          </cell>
          <cell r="J342" t="str">
            <v>07AQIPG2144B1ZF</v>
          </cell>
          <cell r="K342" t="str">
            <v>Village-Nobagaon(Near Budha Mandir) VIP Pamohi DPS Link Road Police Station-Garchuk Guwahati-781035</v>
          </cell>
          <cell r="L342" t="str">
            <v>Assam</v>
          </cell>
          <cell r="M342" t="str">
            <v>Meghamansions PVT Limited, 8th Mile, Baridua, RI-Bhoi, Khanapara, Meghalaya-793102.</v>
          </cell>
          <cell r="N342" t="str">
            <v>Meghalaya</v>
          </cell>
          <cell r="O342" t="str">
            <v>Assets Shifting</v>
          </cell>
          <cell r="P342">
            <v>3000</v>
          </cell>
          <cell r="Q342">
            <v>0</v>
          </cell>
          <cell r="R342">
            <v>0</v>
          </cell>
          <cell r="S342">
            <v>0</v>
          </cell>
          <cell r="T342">
            <v>540</v>
          </cell>
          <cell r="U342">
            <v>0</v>
          </cell>
          <cell r="V342">
            <v>3540</v>
          </cell>
          <cell r="W342">
            <v>30</v>
          </cell>
          <cell r="X342">
            <v>0.01</v>
          </cell>
          <cell r="Y342">
            <v>3510</v>
          </cell>
          <cell r="AC342">
            <v>3510</v>
          </cell>
          <cell r="AJ342">
            <v>3000</v>
          </cell>
        </row>
        <row r="343">
          <cell r="B343">
            <v>7171</v>
          </cell>
          <cell r="C343" t="str">
            <v>NCR-Rahul</v>
          </cell>
          <cell r="D343" t="str">
            <v>Assets Shifting</v>
          </cell>
          <cell r="E343" t="str">
            <v>S1BB005558002</v>
          </cell>
          <cell r="F343">
            <v>45936</v>
          </cell>
          <cell r="G343" t="str">
            <v>SSS/2025-26/0111</v>
          </cell>
          <cell r="H343" t="str">
            <v>Str8 &amp; Secure Services</v>
          </cell>
          <cell r="I343" t="str">
            <v>AQIPG2144B</v>
          </cell>
          <cell r="J343" t="str">
            <v>07AQIPG2144B1ZF</v>
          </cell>
          <cell r="K343" t="str">
            <v>Village-Nobagaon(Near Budha Mandir) VIP Pamohi DPS Link Road Police Station-Garchuk Guwahati-781035</v>
          </cell>
          <cell r="L343" t="str">
            <v>Assam</v>
          </cell>
          <cell r="M343" t="str">
            <v>Meghamansions PVT Limited, 8th Mile, Baridua, RI-Bhoi, Khanapara, Meghalaya-793102.</v>
          </cell>
          <cell r="N343" t="str">
            <v>Meghalaya</v>
          </cell>
          <cell r="O343" t="str">
            <v>Assets Shifting</v>
          </cell>
          <cell r="P343">
            <v>3000</v>
          </cell>
          <cell r="Q343">
            <v>0</v>
          </cell>
          <cell r="R343">
            <v>0</v>
          </cell>
          <cell r="S343">
            <v>0</v>
          </cell>
          <cell r="T343">
            <v>540</v>
          </cell>
          <cell r="U343">
            <v>0</v>
          </cell>
          <cell r="V343">
            <v>3540</v>
          </cell>
          <cell r="W343">
            <v>30</v>
          </cell>
          <cell r="X343">
            <v>0.01</v>
          </cell>
          <cell r="Y343">
            <v>3510</v>
          </cell>
          <cell r="AC343">
            <v>3510</v>
          </cell>
          <cell r="AJ343">
            <v>3000</v>
          </cell>
        </row>
        <row r="344">
          <cell r="B344">
            <v>2186</v>
          </cell>
          <cell r="C344" t="str">
            <v>NCR-Umesh</v>
          </cell>
          <cell r="D344" t="str">
            <v>Assets Shifting</v>
          </cell>
          <cell r="E344" t="str">
            <v>MPB00982</v>
          </cell>
          <cell r="F344">
            <v>45936</v>
          </cell>
          <cell r="G344" t="str">
            <v>SSS/2025-26/0115</v>
          </cell>
          <cell r="H344" t="str">
            <v>Str8 &amp; Secure Services</v>
          </cell>
          <cell r="I344" t="str">
            <v>AQIPG2144B</v>
          </cell>
          <cell r="J344" t="str">
            <v>07AQIPG2144B1ZF</v>
          </cell>
          <cell r="K344" t="str">
            <v>A2 New Bhavik Society Near Navarang School Godrej Garden City Jagatpur Road Jagatpur Ahemedabad 382470</v>
          </cell>
          <cell r="L344" t="str">
            <v>Gujarat</v>
          </cell>
          <cell r="M344" t="str">
            <v>Kishore Bagai Transport, l-2 Jai Mata Di Compound , 2nd left next to Hetvi Textile, Kalher Bhiwandi, Maharashtra - 421302</v>
          </cell>
          <cell r="N344" t="str">
            <v>Maharashtra</v>
          </cell>
          <cell r="O344" t="str">
            <v>Assets Shifting</v>
          </cell>
          <cell r="P344">
            <v>7500</v>
          </cell>
          <cell r="Q344">
            <v>0</v>
          </cell>
          <cell r="R344">
            <v>0</v>
          </cell>
          <cell r="S344">
            <v>0</v>
          </cell>
          <cell r="T344">
            <v>1350</v>
          </cell>
          <cell r="U344">
            <v>0</v>
          </cell>
          <cell r="V344">
            <v>8850</v>
          </cell>
          <cell r="W344">
            <v>75</v>
          </cell>
          <cell r="X344">
            <v>0.01</v>
          </cell>
          <cell r="Y344">
            <v>8775</v>
          </cell>
          <cell r="AC344">
            <v>8775</v>
          </cell>
          <cell r="AJ344">
            <v>7500</v>
          </cell>
        </row>
        <row r="345">
          <cell r="B345">
            <v>2184</v>
          </cell>
          <cell r="C345" t="str">
            <v>Hitachi</v>
          </cell>
          <cell r="D345" t="str">
            <v>Assets Shifting</v>
          </cell>
          <cell r="E345" t="str">
            <v>MPZ10922</v>
          </cell>
          <cell r="F345">
            <v>45936</v>
          </cell>
          <cell r="G345" t="str">
            <v>SSS/2025-26/0106</v>
          </cell>
          <cell r="H345" t="str">
            <v>Str8 &amp; Secure Services</v>
          </cell>
          <cell r="I345" t="str">
            <v>AQIPG2144B</v>
          </cell>
          <cell r="J345" t="str">
            <v>07AQIPG2144B1ZF</v>
          </cell>
          <cell r="K345" t="str">
            <v>Vil snat nagaliya, samtal chowk, dis, anwar BHIWADI,RAJASTHAN 301019</v>
          </cell>
          <cell r="L345" t="str">
            <v>Rajasthan</v>
          </cell>
          <cell r="M345" t="str">
            <v>Plot no 123, Sector 56 Phase IV, Industrial estate, kundli sonipat, sonipat, Haryana, 131028</v>
          </cell>
          <cell r="N345" t="str">
            <v>Haryana</v>
          </cell>
          <cell r="O345" t="str">
            <v>Assets Shifting</v>
          </cell>
          <cell r="P345">
            <v>20000</v>
          </cell>
          <cell r="Q345">
            <v>0</v>
          </cell>
          <cell r="R345">
            <v>0</v>
          </cell>
          <cell r="S345">
            <v>0</v>
          </cell>
          <cell r="T345">
            <v>3600</v>
          </cell>
          <cell r="U345">
            <v>0</v>
          </cell>
          <cell r="V345">
            <v>23600</v>
          </cell>
          <cell r="W345">
            <v>200</v>
          </cell>
          <cell r="X345">
            <v>0.01</v>
          </cell>
          <cell r="Y345">
            <v>23400</v>
          </cell>
          <cell r="AC345">
            <v>23400</v>
          </cell>
          <cell r="AJ345">
            <v>20000</v>
          </cell>
        </row>
        <row r="346">
          <cell r="B346">
            <v>2195</v>
          </cell>
          <cell r="C346" t="str">
            <v>NCR-Umesh</v>
          </cell>
          <cell r="D346" t="str">
            <v>Assets Shifting</v>
          </cell>
          <cell r="E346" t="str">
            <v>MPZ15126</v>
          </cell>
          <cell r="F346">
            <v>45936</v>
          </cell>
          <cell r="G346" t="str">
            <v>SSS/2025-26/0113</v>
          </cell>
          <cell r="H346" t="str">
            <v>Str8 &amp; Secure Services</v>
          </cell>
          <cell r="I346" t="str">
            <v>AQIPG2144B</v>
          </cell>
          <cell r="J346" t="str">
            <v>07AQIPG2144B1ZF</v>
          </cell>
          <cell r="K346" t="str">
            <v>5882cmg,Government School RD,Teen ka majra,Jagadhri,Haryana 135003,India</v>
          </cell>
          <cell r="L346" t="str">
            <v>Haryana</v>
          </cell>
          <cell r="M346" t="str">
            <v>Plot no 123, Sector 56 Phase IV, Industrial estate, kundli sonipat, sonipat, Haryana, 131028</v>
          </cell>
          <cell r="N346" t="str">
            <v>Haryana</v>
          </cell>
          <cell r="O346" t="str">
            <v>Assets Shifting</v>
          </cell>
          <cell r="P346">
            <v>15000</v>
          </cell>
          <cell r="Q346">
            <v>0</v>
          </cell>
          <cell r="R346">
            <v>0</v>
          </cell>
          <cell r="S346">
            <v>0</v>
          </cell>
          <cell r="T346">
            <v>2700</v>
          </cell>
          <cell r="U346">
            <v>0</v>
          </cell>
          <cell r="V346">
            <v>17700</v>
          </cell>
          <cell r="W346">
            <v>150</v>
          </cell>
          <cell r="X346">
            <v>0.01</v>
          </cell>
          <cell r="Y346">
            <v>17550</v>
          </cell>
          <cell r="AC346">
            <v>17550</v>
          </cell>
          <cell r="AJ346">
            <v>15000</v>
          </cell>
        </row>
        <row r="347">
          <cell r="B347">
            <v>2192</v>
          </cell>
          <cell r="C347" t="str">
            <v>NCR-Hari</v>
          </cell>
          <cell r="D347" t="str">
            <v>Assets Shifting</v>
          </cell>
          <cell r="E347" t="str">
            <v>6FSAJJAN01</v>
          </cell>
          <cell r="F347">
            <v>45936</v>
          </cell>
          <cell r="G347" t="str">
            <v>SSS/2025-26/0109</v>
          </cell>
          <cell r="H347" t="str">
            <v>Str8 &amp; Secure Services</v>
          </cell>
          <cell r="I347" t="str">
            <v>AQIPG2144B</v>
          </cell>
          <cell r="J347" t="str">
            <v>07AQIPG2144B1ZF</v>
          </cell>
          <cell r="K347" t="str">
            <v>Bhatia jewelers,Shahid Bhagat Singh bus stand,Khushalgarh 327801</v>
          </cell>
          <cell r="L347" t="str">
            <v>Rajasthan</v>
          </cell>
          <cell r="M347" t="str">
            <v>Bank Of Baroda , Near Hamara Pump Opposite Forest Department Timeda Road Kushalgarh District Banswara Rajasthan- 327801</v>
          </cell>
          <cell r="N347" t="str">
            <v>Rajasthan</v>
          </cell>
          <cell r="O347" t="str">
            <v>Assets Shifting</v>
          </cell>
          <cell r="P347">
            <v>6000</v>
          </cell>
          <cell r="Q347">
            <v>0</v>
          </cell>
          <cell r="R347">
            <v>0</v>
          </cell>
          <cell r="S347">
            <v>0</v>
          </cell>
          <cell r="T347">
            <v>1080</v>
          </cell>
          <cell r="U347">
            <v>0</v>
          </cell>
          <cell r="V347">
            <v>7080</v>
          </cell>
          <cell r="W347">
            <v>60</v>
          </cell>
          <cell r="X347">
            <v>0.01</v>
          </cell>
          <cell r="Y347">
            <v>7020</v>
          </cell>
          <cell r="AC347">
            <v>7020</v>
          </cell>
          <cell r="AJ347">
            <v>6000</v>
          </cell>
        </row>
        <row r="348">
          <cell r="B348">
            <v>2193</v>
          </cell>
          <cell r="C348" t="str">
            <v>NCR-Hari</v>
          </cell>
          <cell r="D348" t="str">
            <v>Assets Shifting</v>
          </cell>
          <cell r="E348" t="str">
            <v>6FSAJJAN01</v>
          </cell>
          <cell r="F348">
            <v>45936</v>
          </cell>
          <cell r="G348" t="str">
            <v>SSS/2025-26/0109</v>
          </cell>
          <cell r="H348" t="str">
            <v>Str8 &amp; Secure Services</v>
          </cell>
          <cell r="I348" t="str">
            <v>AQIPG2144B</v>
          </cell>
          <cell r="J348" t="str">
            <v>07AQIPG2144B1ZF</v>
          </cell>
          <cell r="K348" t="str">
            <v>Bhatia jewelers,Shahid Bhagat Singh bus stand,Khushalgarh 327801</v>
          </cell>
          <cell r="L348" t="str">
            <v>Rajasthan</v>
          </cell>
          <cell r="M348" t="str">
            <v>SS WH - Ghaziabad - Balkishan Radha Enclave, Sabahaour Road, Inaam Vihar, Loni, Ghaziabad-201102</v>
          </cell>
          <cell r="N348" t="str">
            <v>Uttar Pradesh</v>
          </cell>
          <cell r="O348" t="str">
            <v>Assets Shifting</v>
          </cell>
          <cell r="P348">
            <v>6500</v>
          </cell>
          <cell r="Q348">
            <v>0</v>
          </cell>
          <cell r="R348">
            <v>0</v>
          </cell>
          <cell r="S348">
            <v>0</v>
          </cell>
          <cell r="T348">
            <v>1170</v>
          </cell>
          <cell r="U348">
            <v>0</v>
          </cell>
          <cell r="V348">
            <v>7670</v>
          </cell>
          <cell r="W348">
            <v>65</v>
          </cell>
          <cell r="X348">
            <v>0.01</v>
          </cell>
          <cell r="Y348">
            <v>7605</v>
          </cell>
          <cell r="AC348">
            <v>7605</v>
          </cell>
          <cell r="AJ348">
            <v>6500</v>
          </cell>
        </row>
        <row r="349">
          <cell r="B349">
            <v>2190</v>
          </cell>
          <cell r="C349" t="str">
            <v>NCR-Hari</v>
          </cell>
          <cell r="D349" t="str">
            <v>Assets Shifting</v>
          </cell>
          <cell r="E349" t="str">
            <v>6BINDPAN01</v>
          </cell>
          <cell r="F349">
            <v>45936</v>
          </cell>
          <cell r="G349" t="str">
            <v>SSS/2025-26/0109</v>
          </cell>
          <cell r="H349" t="str">
            <v>Str8 &amp; Secure Services</v>
          </cell>
          <cell r="I349" t="str">
            <v>AQIPG2144B</v>
          </cell>
          <cell r="J349" t="str">
            <v>07AQIPG2144B1ZF</v>
          </cell>
          <cell r="K349" t="str">
            <v>INDPAN  BOB  PANDESSARA BRANCH  PLOT NO 157-1  GIDC  NEAR FIRE STATION  PANDESARA  SURAT  GUJARAT  PIN-394221</v>
          </cell>
          <cell r="L349" t="str">
            <v>Gujarat</v>
          </cell>
          <cell r="M349" t="str">
            <v>INDPAN  BOB  PANDESSARA BRANCH  PLOT NO 157-1  GIDC  NEAR FIRE STATION  PANDESARA  SURAT  GUJARAT  PIN-394221 ( Inside the Branch )</v>
          </cell>
          <cell r="N349" t="str">
            <v>Gujarat</v>
          </cell>
          <cell r="O349" t="str">
            <v>Assets Shifting</v>
          </cell>
          <cell r="P349">
            <v>4500</v>
          </cell>
          <cell r="Q349">
            <v>0</v>
          </cell>
          <cell r="R349">
            <v>0</v>
          </cell>
          <cell r="S349">
            <v>0</v>
          </cell>
          <cell r="T349">
            <v>810</v>
          </cell>
          <cell r="U349">
            <v>0</v>
          </cell>
          <cell r="V349">
            <v>5310</v>
          </cell>
          <cell r="W349">
            <v>45</v>
          </cell>
          <cell r="X349">
            <v>0.01</v>
          </cell>
          <cell r="Y349">
            <v>5265</v>
          </cell>
          <cell r="AC349">
            <v>5265</v>
          </cell>
          <cell r="AJ349">
            <v>4500</v>
          </cell>
        </row>
        <row r="350">
          <cell r="B350">
            <v>2191</v>
          </cell>
          <cell r="C350" t="str">
            <v>NCR-Hari</v>
          </cell>
          <cell r="D350" t="str">
            <v>Assets Shifting</v>
          </cell>
          <cell r="E350" t="str">
            <v>6BSARSUR01</v>
          </cell>
          <cell r="F350">
            <v>45936</v>
          </cell>
          <cell r="G350" t="str">
            <v>SSS/2025-26/0109</v>
          </cell>
          <cell r="H350" t="str">
            <v>Str8 &amp; Secure Services</v>
          </cell>
          <cell r="I350" t="str">
            <v>AQIPG2144B</v>
          </cell>
          <cell r="J350" t="str">
            <v>07AQIPG2144B1ZF</v>
          </cell>
          <cell r="K350" t="str">
            <v>SARSUR, BOB, SARTHANA JAKATNAKA BRANCH, SARTHANA JAKATNAKA, SURAT, GUJRAT, PIN-395006</v>
          </cell>
          <cell r="L350" t="str">
            <v>Gujarat</v>
          </cell>
          <cell r="M350" t="str">
            <v>SARSUR, BOB, SARTHANA JAKATNAKA BRANCH, SARTHANA JAKATNAKA, SURAT, GUJRAT, PIN-395006 ( Inside the Branch )</v>
          </cell>
          <cell r="N350" t="str">
            <v>Gujarat</v>
          </cell>
          <cell r="O350" t="str">
            <v>Assets Shifting</v>
          </cell>
          <cell r="P350">
            <v>4500</v>
          </cell>
          <cell r="Q350">
            <v>0</v>
          </cell>
          <cell r="R350">
            <v>0</v>
          </cell>
          <cell r="S350">
            <v>0</v>
          </cell>
          <cell r="T350">
            <v>810</v>
          </cell>
          <cell r="U350">
            <v>0</v>
          </cell>
          <cell r="V350">
            <v>5310</v>
          </cell>
          <cell r="W350">
            <v>45</v>
          </cell>
          <cell r="X350">
            <v>0.01</v>
          </cell>
          <cell r="Y350">
            <v>5265</v>
          </cell>
          <cell r="AC350">
            <v>5265</v>
          </cell>
          <cell r="AJ350">
            <v>4500</v>
          </cell>
        </row>
        <row r="351">
          <cell r="B351">
            <v>2199</v>
          </cell>
          <cell r="C351" t="str">
            <v>NCR-Umesh</v>
          </cell>
          <cell r="D351" t="str">
            <v>Assets Shifting</v>
          </cell>
          <cell r="E351" t="str">
            <v>MPZ13701</v>
          </cell>
          <cell r="F351">
            <v>45936</v>
          </cell>
          <cell r="G351" t="str">
            <v>SSS/2025-26/0115</v>
          </cell>
          <cell r="H351" t="str">
            <v>Str8 &amp; Secure Services</v>
          </cell>
          <cell r="I351" t="str">
            <v>AQIPG2144B</v>
          </cell>
          <cell r="J351" t="str">
            <v>07AQIPG2144B1ZF</v>
          </cell>
          <cell r="K351" t="str">
            <v>Shop no-2, Dev Complex, Anand-Sojitra road, Sojitra,Anand-387240</v>
          </cell>
          <cell r="L351" t="str">
            <v>Gujarat</v>
          </cell>
          <cell r="M351" t="str">
            <v>Kishore Bagai Transport, l-2 Jai Mata Di Compound , 2nd left next to Hetvi Textile, Kalher Bhiwandi, Maharashtra - 421302</v>
          </cell>
          <cell r="N351" t="str">
            <v>Maharashtra</v>
          </cell>
          <cell r="O351" t="str">
            <v>Assets Shifting</v>
          </cell>
          <cell r="P351">
            <v>19000</v>
          </cell>
          <cell r="Q351">
            <v>0</v>
          </cell>
          <cell r="R351">
            <v>0</v>
          </cell>
          <cell r="S351">
            <v>0</v>
          </cell>
          <cell r="T351">
            <v>3420</v>
          </cell>
          <cell r="U351">
            <v>0</v>
          </cell>
          <cell r="V351">
            <v>22420</v>
          </cell>
          <cell r="W351">
            <v>190</v>
          </cell>
          <cell r="X351">
            <v>0.01</v>
          </cell>
          <cell r="Y351">
            <v>22230</v>
          </cell>
          <cell r="AC351">
            <v>22230</v>
          </cell>
          <cell r="AJ351">
            <v>19000</v>
          </cell>
        </row>
        <row r="352">
          <cell r="B352">
            <v>7001</v>
          </cell>
          <cell r="C352" t="str">
            <v>NCR-Rahul</v>
          </cell>
          <cell r="D352" t="str">
            <v>Assets Shifting</v>
          </cell>
          <cell r="E352" t="str">
            <v>S1BW000808033</v>
          </cell>
          <cell r="F352">
            <v>45936</v>
          </cell>
          <cell r="G352" t="str">
            <v>SSS/2025-26/0111</v>
          </cell>
          <cell r="H352" t="str">
            <v>Str8 &amp; Secure Services</v>
          </cell>
          <cell r="I352" t="str">
            <v>AQIPG2144B</v>
          </cell>
          <cell r="J352" t="str">
            <v>07AQIPG2144B1ZF</v>
          </cell>
          <cell r="K352" t="str">
            <v>NO.60, KVP COMPLEX,KALAMBUR, ARNI-POLUR ROAD,Tiruvannamalai</v>
          </cell>
          <cell r="L352" t="str">
            <v>Tamil Nadu</v>
          </cell>
          <cell r="M352" t="str">
            <v>Jasmine Nagar, Nailavanpalayam, Murugarpalayam, Tiruvannamalai, TN - 606603</v>
          </cell>
          <cell r="N352" t="str">
            <v>Tamil Nadu</v>
          </cell>
          <cell r="O352" t="str">
            <v>Assets Shifting</v>
          </cell>
          <cell r="P352">
            <v>8500</v>
          </cell>
          <cell r="Q352">
            <v>0</v>
          </cell>
          <cell r="R352">
            <v>0</v>
          </cell>
          <cell r="S352">
            <v>0</v>
          </cell>
          <cell r="T352">
            <v>1530</v>
          </cell>
          <cell r="U352">
            <v>0</v>
          </cell>
          <cell r="V352">
            <v>10030</v>
          </cell>
          <cell r="W352">
            <v>85</v>
          </cell>
          <cell r="X352">
            <v>0.01</v>
          </cell>
          <cell r="Y352">
            <v>9945</v>
          </cell>
          <cell r="AC352">
            <v>9945</v>
          </cell>
          <cell r="AJ352">
            <v>8500</v>
          </cell>
        </row>
        <row r="353">
          <cell r="B353">
            <v>7002</v>
          </cell>
          <cell r="C353" t="str">
            <v>NCR-Rahul</v>
          </cell>
          <cell r="D353" t="str">
            <v>Assets Shifting</v>
          </cell>
          <cell r="E353" t="str">
            <v>BHNZ000869183</v>
          </cell>
          <cell r="F353">
            <v>45936</v>
          </cell>
          <cell r="G353" t="str">
            <v>SSS/2025-26/0111</v>
          </cell>
          <cell r="H353" t="str">
            <v>Str8 &amp; Secure Services</v>
          </cell>
          <cell r="I353" t="str">
            <v>AQIPG2144B</v>
          </cell>
          <cell r="J353" t="str">
            <v>07AQIPG2144B1ZF</v>
          </cell>
          <cell r="K353" t="str">
            <v>ATHIKULAM ROAD,OPP TO POLICE OFFICE,Madurai</v>
          </cell>
          <cell r="L353" t="str">
            <v>Tamil Nadu</v>
          </cell>
          <cell r="M353" t="str">
            <v>Madurai Kamaraj University, Palkalai Nagar,. Madurai - 625 021,</v>
          </cell>
          <cell r="N353" t="str">
            <v>Tamil Nadu</v>
          </cell>
          <cell r="O353" t="str">
            <v>Assets Shifting</v>
          </cell>
          <cell r="P353">
            <v>8500</v>
          </cell>
          <cell r="Q353">
            <v>0</v>
          </cell>
          <cell r="R353">
            <v>0</v>
          </cell>
          <cell r="S353">
            <v>0</v>
          </cell>
          <cell r="T353">
            <v>1530</v>
          </cell>
          <cell r="U353">
            <v>0</v>
          </cell>
          <cell r="V353">
            <v>10030</v>
          </cell>
          <cell r="W353">
            <v>85</v>
          </cell>
          <cell r="X353">
            <v>0.01</v>
          </cell>
          <cell r="Y353">
            <v>9945</v>
          </cell>
          <cell r="AC353">
            <v>9945</v>
          </cell>
          <cell r="AJ353">
            <v>8500</v>
          </cell>
        </row>
        <row r="354">
          <cell r="B354">
            <v>7003</v>
          </cell>
          <cell r="C354" t="str">
            <v>NCR-Rahul</v>
          </cell>
          <cell r="D354" t="str">
            <v>Assets Shifting</v>
          </cell>
          <cell r="E354" t="str">
            <v>S1NW001243145</v>
          </cell>
          <cell r="F354">
            <v>45936</v>
          </cell>
          <cell r="G354" t="str">
            <v>SSS/2025-26/0111</v>
          </cell>
          <cell r="H354" t="str">
            <v>Str8 &amp; Secure Services</v>
          </cell>
          <cell r="I354" t="str">
            <v>AQIPG2144B</v>
          </cell>
          <cell r="J354" t="str">
            <v>07AQIPG2144B1ZF</v>
          </cell>
          <cell r="K354" t="str">
            <v>NO 24, MELAKOTTAIYUR (VIA),VANDALUR - KELAMPAKKAM ROAD,Kancheepuram</v>
          </cell>
          <cell r="L354" t="str">
            <v>Tamil Nadu</v>
          </cell>
          <cell r="M354" t="str">
            <v>NO 24, MELAKOTTAIYUR (VIA),VANDALUR - KELAMPAKKAM ROAD,Kancheepuram(Same Site at Back Room)</v>
          </cell>
          <cell r="N354" t="str">
            <v>Tamil Nadu</v>
          </cell>
          <cell r="O354" t="str">
            <v>Assets Shifting</v>
          </cell>
          <cell r="P354">
            <v>8500</v>
          </cell>
          <cell r="Q354">
            <v>0</v>
          </cell>
          <cell r="R354">
            <v>0</v>
          </cell>
          <cell r="S354">
            <v>0</v>
          </cell>
          <cell r="T354">
            <v>1530</v>
          </cell>
          <cell r="U354">
            <v>0</v>
          </cell>
          <cell r="V354">
            <v>10030</v>
          </cell>
          <cell r="W354">
            <v>85</v>
          </cell>
          <cell r="X354">
            <v>0.01</v>
          </cell>
          <cell r="Y354">
            <v>9945</v>
          </cell>
          <cell r="AC354">
            <v>9945</v>
          </cell>
          <cell r="AJ354">
            <v>8500</v>
          </cell>
        </row>
        <row r="355">
          <cell r="B355">
            <v>7004</v>
          </cell>
          <cell r="C355" t="str">
            <v>NCR-Rahul</v>
          </cell>
          <cell r="D355" t="str">
            <v>Assets Shifting</v>
          </cell>
          <cell r="E355" t="str">
            <v>S1BJ001243028</v>
          </cell>
          <cell r="F355">
            <v>45936</v>
          </cell>
          <cell r="G355" t="str">
            <v>SSS/2025-26/0111</v>
          </cell>
          <cell r="H355" t="str">
            <v>Str8 &amp; Secure Services</v>
          </cell>
          <cell r="I355" t="str">
            <v>AQIPG2144B</v>
          </cell>
          <cell r="J355" t="str">
            <v>07AQIPG2144B1ZF</v>
          </cell>
          <cell r="K355" t="str">
            <v>2A, RAGHAVENDRA STEET, SBI COLONY,CHITLAPAKKAM,Kancheepuram</v>
          </cell>
          <cell r="L355" t="str">
            <v>Tamil Nadu</v>
          </cell>
          <cell r="M355" t="str">
            <v>Meenambakkam Airport, Meenambakkam, KancheepuramDist Kancheepuram, Tamil Nadu 600027</v>
          </cell>
          <cell r="N355" t="str">
            <v>Tamil Nadu</v>
          </cell>
          <cell r="O355" t="str">
            <v>Assets Shifting</v>
          </cell>
          <cell r="P355">
            <v>8500</v>
          </cell>
          <cell r="Q355">
            <v>0</v>
          </cell>
          <cell r="R355">
            <v>0</v>
          </cell>
          <cell r="S355">
            <v>0</v>
          </cell>
          <cell r="T355">
            <v>1530</v>
          </cell>
          <cell r="U355">
            <v>0</v>
          </cell>
          <cell r="V355">
            <v>10030</v>
          </cell>
          <cell r="W355">
            <v>85</v>
          </cell>
          <cell r="X355">
            <v>0.01</v>
          </cell>
          <cell r="Y355">
            <v>9945</v>
          </cell>
          <cell r="AC355">
            <v>9945</v>
          </cell>
          <cell r="AJ355">
            <v>8500</v>
          </cell>
        </row>
        <row r="356">
          <cell r="B356">
            <v>7005</v>
          </cell>
          <cell r="C356" t="str">
            <v>NCR-Rahul</v>
          </cell>
          <cell r="D356" t="str">
            <v>Assets Shifting</v>
          </cell>
          <cell r="E356" t="str">
            <v>S1BJ000832039</v>
          </cell>
          <cell r="F356">
            <v>45936</v>
          </cell>
          <cell r="G356" t="str">
            <v>SSS/2025-26/0111</v>
          </cell>
          <cell r="H356" t="str">
            <v>Str8 &amp; Secure Services</v>
          </cell>
          <cell r="I356" t="str">
            <v>AQIPG2144B</v>
          </cell>
          <cell r="J356" t="str">
            <v>07AQIPG2144B1ZF</v>
          </cell>
          <cell r="K356" t="str">
            <v>Near Police Ground, Vennampatti,DHARMAPURI,Dharmapuri</v>
          </cell>
          <cell r="L356" t="str">
            <v>Tamil Nadu</v>
          </cell>
          <cell r="M356" t="str">
            <v>Sipcot-1, Bangalore Bypass, Zuzuwadi, Near SBI ATM, Hosur, Tamilnadu - 635126</v>
          </cell>
          <cell r="N356" t="str">
            <v>Tamil Nadu</v>
          </cell>
          <cell r="O356" t="str">
            <v>Assets Shifting</v>
          </cell>
          <cell r="P356">
            <v>8500</v>
          </cell>
          <cell r="Q356">
            <v>0</v>
          </cell>
          <cell r="R356">
            <v>0</v>
          </cell>
          <cell r="S356">
            <v>0</v>
          </cell>
          <cell r="T356">
            <v>1530</v>
          </cell>
          <cell r="U356">
            <v>0</v>
          </cell>
          <cell r="V356">
            <v>10030</v>
          </cell>
          <cell r="W356">
            <v>85</v>
          </cell>
          <cell r="X356">
            <v>0.01</v>
          </cell>
          <cell r="Y356">
            <v>9945</v>
          </cell>
          <cell r="AC356">
            <v>9945</v>
          </cell>
          <cell r="AJ356">
            <v>8500</v>
          </cell>
        </row>
        <row r="357">
          <cell r="B357">
            <v>7006</v>
          </cell>
          <cell r="C357" t="str">
            <v>NCR-Rahul</v>
          </cell>
          <cell r="D357" t="str">
            <v>Assets Shifting</v>
          </cell>
          <cell r="E357" t="str">
            <v>S1NJ000832064</v>
          </cell>
          <cell r="F357">
            <v>45936</v>
          </cell>
          <cell r="G357" t="str">
            <v>SSS/2025-26/0111</v>
          </cell>
          <cell r="H357" t="str">
            <v>Str8 &amp; Secure Services</v>
          </cell>
          <cell r="I357" t="str">
            <v>AQIPG2144B</v>
          </cell>
          <cell r="J357" t="str">
            <v>07AQIPG2144B1ZF</v>
          </cell>
          <cell r="K357" t="str">
            <v>Palacode road, Vellichandai,Vellichandai,Dharmapuri</v>
          </cell>
          <cell r="L357" t="str">
            <v>Tamil Nadu</v>
          </cell>
          <cell r="M357" t="str">
            <v>Sipcot-1, Bangalore Bypass, Zuzuwadi, Near SBI ATM, Hosur, Tamilnadu - 635126</v>
          </cell>
          <cell r="N357" t="str">
            <v>Tamil Nadu</v>
          </cell>
          <cell r="O357" t="str">
            <v>Assets Shifting</v>
          </cell>
          <cell r="P357">
            <v>8500</v>
          </cell>
          <cell r="Q357">
            <v>0</v>
          </cell>
          <cell r="R357">
            <v>0</v>
          </cell>
          <cell r="S357">
            <v>0</v>
          </cell>
          <cell r="T357">
            <v>1530</v>
          </cell>
          <cell r="U357">
            <v>0</v>
          </cell>
          <cell r="V357">
            <v>10030</v>
          </cell>
          <cell r="W357">
            <v>85</v>
          </cell>
          <cell r="X357">
            <v>0.01</v>
          </cell>
          <cell r="Y357">
            <v>9945</v>
          </cell>
          <cell r="AC357">
            <v>9945</v>
          </cell>
          <cell r="AJ357">
            <v>8500</v>
          </cell>
        </row>
        <row r="358">
          <cell r="B358">
            <v>7007</v>
          </cell>
          <cell r="C358" t="str">
            <v>NCR-Rahul</v>
          </cell>
          <cell r="D358" t="str">
            <v>Assets Shifting</v>
          </cell>
          <cell r="E358" t="str">
            <v>S1BJ000862015</v>
          </cell>
          <cell r="F358">
            <v>45936</v>
          </cell>
          <cell r="G358" t="str">
            <v>SSS/2025-26/0111</v>
          </cell>
          <cell r="H358" t="str">
            <v>Str8 &amp; Secure Services</v>
          </cell>
          <cell r="I358" t="str">
            <v>AQIPG2144B</v>
          </cell>
          <cell r="J358" t="str">
            <v>07AQIPG2144B1ZF</v>
          </cell>
          <cell r="K358" t="str">
            <v>Opposite to Church, Lakshmipuram,KRISHNAGIRI,Krishnagiri</v>
          </cell>
          <cell r="L358" t="str">
            <v>Tamil Nadu</v>
          </cell>
          <cell r="M358" t="str">
            <v>Sipcot-1, Bangalore Bypass, Zuzuwadi, Near SBI ATM, Hosur, Tamilnadu - 635126</v>
          </cell>
          <cell r="N358" t="str">
            <v>Tamil Nadu</v>
          </cell>
          <cell r="O358" t="str">
            <v>Assets Shifting</v>
          </cell>
          <cell r="P358">
            <v>8500</v>
          </cell>
          <cell r="Q358">
            <v>0</v>
          </cell>
          <cell r="R358">
            <v>0</v>
          </cell>
          <cell r="S358">
            <v>0</v>
          </cell>
          <cell r="T358">
            <v>1530</v>
          </cell>
          <cell r="U358">
            <v>0</v>
          </cell>
          <cell r="V358">
            <v>10030</v>
          </cell>
          <cell r="W358">
            <v>85</v>
          </cell>
          <cell r="X358">
            <v>0.01</v>
          </cell>
          <cell r="Y358">
            <v>9945</v>
          </cell>
          <cell r="AC358">
            <v>9945</v>
          </cell>
          <cell r="AJ358">
            <v>8500</v>
          </cell>
        </row>
        <row r="359">
          <cell r="B359">
            <v>7008</v>
          </cell>
          <cell r="C359" t="str">
            <v>NCR-Rahul</v>
          </cell>
          <cell r="D359" t="str">
            <v>Assets Shifting</v>
          </cell>
          <cell r="E359" t="str">
            <v>S1BJ006242021</v>
          </cell>
          <cell r="F359">
            <v>45936</v>
          </cell>
          <cell r="G359" t="str">
            <v>SSS/2025-26/0111</v>
          </cell>
          <cell r="H359" t="str">
            <v>Str8 &amp; Secure Services</v>
          </cell>
          <cell r="I359" t="str">
            <v>AQIPG2144B</v>
          </cell>
          <cell r="J359" t="str">
            <v>07AQIPG2144B1ZF</v>
          </cell>
          <cell r="K359" t="str">
            <v>GS Complex, Bagalur Road, Near RTO checkpost,Bagalur Road, Hosur,Krishnagiri</v>
          </cell>
          <cell r="L359" t="str">
            <v>Tamil Nadu</v>
          </cell>
          <cell r="M359" t="str">
            <v>Sipcot-1, Bangalore Bypass, Zuzuwadi, Near SBI ATM, Hosur, Tamilnadu - 635126</v>
          </cell>
          <cell r="N359" t="str">
            <v>Tamil Nadu</v>
          </cell>
          <cell r="O359" t="str">
            <v>Assets Shifting</v>
          </cell>
          <cell r="P359">
            <v>8500</v>
          </cell>
          <cell r="Q359">
            <v>0</v>
          </cell>
          <cell r="R359">
            <v>0</v>
          </cell>
          <cell r="S359">
            <v>0</v>
          </cell>
          <cell r="T359">
            <v>1530</v>
          </cell>
          <cell r="U359">
            <v>0</v>
          </cell>
          <cell r="V359">
            <v>10030</v>
          </cell>
          <cell r="W359">
            <v>85</v>
          </cell>
          <cell r="X359">
            <v>0.01</v>
          </cell>
          <cell r="Y359">
            <v>9945</v>
          </cell>
          <cell r="AC359">
            <v>9945</v>
          </cell>
          <cell r="AJ359">
            <v>8500</v>
          </cell>
        </row>
        <row r="360">
          <cell r="B360">
            <v>7009</v>
          </cell>
          <cell r="C360" t="str">
            <v>NCR-Rahul</v>
          </cell>
          <cell r="D360" t="str">
            <v>Assets Shifting</v>
          </cell>
          <cell r="E360" t="str">
            <v>BHNZ000943058</v>
          </cell>
          <cell r="F360">
            <v>45936</v>
          </cell>
          <cell r="G360" t="str">
            <v>SSS/2025-26/0111</v>
          </cell>
          <cell r="H360" t="str">
            <v>Str8 &amp; Secure Services</v>
          </cell>
          <cell r="I360" t="str">
            <v>AQIPG2144B</v>
          </cell>
          <cell r="J360" t="str">
            <v>07AQIPG2144B1ZF</v>
          </cell>
          <cell r="K360" t="str">
            <v>EAST COAST ROAD, TUTICORIN MELUR,TUTICORIN MELUR, KANDASAMYPURAM,Thoothukkudi</v>
          </cell>
          <cell r="L360" t="str">
            <v>Tamil Nadu</v>
          </cell>
          <cell r="M360" t="str">
            <v>No. 306, Beach Road, Regional business office, Tuticorin</v>
          </cell>
          <cell r="N360" t="str">
            <v>Tamil Nadu</v>
          </cell>
          <cell r="O360" t="str">
            <v>Assets Shifting</v>
          </cell>
          <cell r="P360">
            <v>8500</v>
          </cell>
          <cell r="Q360">
            <v>0</v>
          </cell>
          <cell r="R360">
            <v>0</v>
          </cell>
          <cell r="S360">
            <v>0</v>
          </cell>
          <cell r="T360">
            <v>1530</v>
          </cell>
          <cell r="U360">
            <v>0</v>
          </cell>
          <cell r="V360">
            <v>10030</v>
          </cell>
          <cell r="W360">
            <v>85</v>
          </cell>
          <cell r="X360">
            <v>0.01</v>
          </cell>
          <cell r="Y360">
            <v>9945</v>
          </cell>
          <cell r="AC360">
            <v>9945</v>
          </cell>
          <cell r="AJ360">
            <v>8500</v>
          </cell>
        </row>
        <row r="361">
          <cell r="B361">
            <v>7010</v>
          </cell>
          <cell r="C361" t="str">
            <v>NCR-Rahul</v>
          </cell>
          <cell r="D361" t="str">
            <v>Assets Shifting</v>
          </cell>
          <cell r="E361" t="str">
            <v>BHNZ000943059</v>
          </cell>
          <cell r="F361">
            <v>45936</v>
          </cell>
          <cell r="G361" t="str">
            <v>SSS/2025-26/0111</v>
          </cell>
          <cell r="H361" t="str">
            <v>Str8 &amp; Secure Services</v>
          </cell>
          <cell r="I361" t="str">
            <v>AQIPG2144B</v>
          </cell>
          <cell r="J361" t="str">
            <v>07AQIPG2144B1ZF</v>
          </cell>
          <cell r="K361" t="str">
            <v>CUSTOMS ROAD, ODAKKARAI,ODAKKARAI, KAYALPATTINAM,Thoothukkudi</v>
          </cell>
          <cell r="L361" t="str">
            <v>Tamil Nadu</v>
          </cell>
          <cell r="M361" t="str">
            <v>No. 306, Beach Road, Regional business office, Tuticorin</v>
          </cell>
          <cell r="N361" t="str">
            <v>Tamil Nadu</v>
          </cell>
          <cell r="O361" t="str">
            <v>Assets Shifting</v>
          </cell>
          <cell r="P361">
            <v>8500</v>
          </cell>
          <cell r="Q361">
            <v>0</v>
          </cell>
          <cell r="R361">
            <v>0</v>
          </cell>
          <cell r="S361">
            <v>0</v>
          </cell>
          <cell r="T361">
            <v>1530</v>
          </cell>
          <cell r="U361">
            <v>0</v>
          </cell>
          <cell r="V361">
            <v>10030</v>
          </cell>
          <cell r="W361">
            <v>85</v>
          </cell>
          <cell r="X361">
            <v>0.01</v>
          </cell>
          <cell r="Y361">
            <v>9945</v>
          </cell>
          <cell r="AC361">
            <v>9945</v>
          </cell>
          <cell r="AJ361">
            <v>8500</v>
          </cell>
        </row>
        <row r="362">
          <cell r="B362">
            <v>2207</v>
          </cell>
          <cell r="C362" t="str">
            <v>Hitachi</v>
          </cell>
          <cell r="D362" t="str">
            <v>Assets Shifting</v>
          </cell>
          <cell r="E362" t="str">
            <v>MPZ05440</v>
          </cell>
          <cell r="F362">
            <v>45936</v>
          </cell>
          <cell r="G362" t="str">
            <v>SSS/2025-26/0108</v>
          </cell>
          <cell r="H362" t="str">
            <v>Str8 &amp; Secure Services</v>
          </cell>
          <cell r="I362" t="str">
            <v>AQIPG2144B</v>
          </cell>
          <cell r="J362" t="str">
            <v>07AQIPG2144B1ZF</v>
          </cell>
          <cell r="K362" t="str">
            <v>Shop Of Chaganlal Kalal, Plot No. 54, Suda Sector-1, Opp. Doordarshan Tower, Apparel Park, Sachin, Surat-394230.</v>
          </cell>
          <cell r="L362" t="str">
            <v>Gujarat</v>
          </cell>
          <cell r="M362" t="str">
            <v>Plot no 123, Sector 56 Phase IV, Industrial estate, kundli sonipat, sonipat, Haryana, 131028</v>
          </cell>
          <cell r="N362" t="str">
            <v>Haryana</v>
          </cell>
          <cell r="O362" t="str">
            <v>Assets Shifting</v>
          </cell>
          <cell r="P362">
            <v>17000</v>
          </cell>
          <cell r="Q362">
            <v>0</v>
          </cell>
          <cell r="R362">
            <v>0</v>
          </cell>
          <cell r="S362">
            <v>0</v>
          </cell>
          <cell r="T362">
            <v>3060</v>
          </cell>
          <cell r="U362">
            <v>0</v>
          </cell>
          <cell r="V362">
            <v>20060</v>
          </cell>
          <cell r="W362">
            <v>170</v>
          </cell>
          <cell r="X362">
            <v>0.01</v>
          </cell>
          <cell r="Y362">
            <v>19890</v>
          </cell>
          <cell r="AC362">
            <v>19890</v>
          </cell>
          <cell r="AJ362">
            <v>17000</v>
          </cell>
        </row>
        <row r="363">
          <cell r="B363">
            <v>7019</v>
          </cell>
          <cell r="C363" t="str">
            <v>NCR-Rahul</v>
          </cell>
          <cell r="D363" t="str">
            <v>Assets Shifting</v>
          </cell>
          <cell r="E363" t="str">
            <v>S1BJ001243117</v>
          </cell>
          <cell r="F363">
            <v>45936</v>
          </cell>
          <cell r="G363" t="str">
            <v>SSS/2025-26/0111</v>
          </cell>
          <cell r="H363" t="str">
            <v>Str8 &amp; Secure Services</v>
          </cell>
          <cell r="I363" t="str">
            <v>AQIPG2144B</v>
          </cell>
          <cell r="J363" t="str">
            <v>07AQIPG2144B1ZF</v>
          </cell>
          <cell r="K363" t="str">
            <v>PLOT NO. 1 KMC GARDEN, ARULNERI,MURUGAPPA STREET, SEMBAKKAM,Kancheepuram</v>
          </cell>
          <cell r="L363" t="str">
            <v>Tamil Nadu</v>
          </cell>
          <cell r="M363" t="str">
            <v>Meenambakkam Airport, Meenambakkam, KancheepuramDist Kancheepuram, Tamil Nadu 600027</v>
          </cell>
          <cell r="N363" t="str">
            <v>Tamil Nadu</v>
          </cell>
          <cell r="O363" t="str">
            <v>Assets Shifting</v>
          </cell>
          <cell r="P363">
            <v>8500</v>
          </cell>
          <cell r="Q363">
            <v>0</v>
          </cell>
          <cell r="R363">
            <v>0</v>
          </cell>
          <cell r="S363">
            <v>0</v>
          </cell>
          <cell r="T363">
            <v>1530</v>
          </cell>
          <cell r="U363">
            <v>0</v>
          </cell>
          <cell r="V363">
            <v>10030</v>
          </cell>
          <cell r="W363">
            <v>85</v>
          </cell>
          <cell r="X363">
            <v>0.01</v>
          </cell>
          <cell r="Y363">
            <v>9945</v>
          </cell>
          <cell r="AC363">
            <v>9945</v>
          </cell>
          <cell r="AJ363">
            <v>8500</v>
          </cell>
        </row>
        <row r="364">
          <cell r="B364">
            <v>7011</v>
          </cell>
          <cell r="C364" t="str">
            <v>NCR-Rahul</v>
          </cell>
          <cell r="D364" t="str">
            <v>Assets Shifting</v>
          </cell>
          <cell r="E364" t="str">
            <v>S1NW000853063</v>
          </cell>
          <cell r="F364">
            <v>45936</v>
          </cell>
          <cell r="G364" t="str">
            <v>SSS/2025-26/0111</v>
          </cell>
          <cell r="H364" t="str">
            <v>Str8 &amp; Secure Services</v>
          </cell>
          <cell r="I364" t="str">
            <v>AQIPG2144B</v>
          </cell>
          <cell r="J364" t="str">
            <v>07AQIPG2144B1ZF</v>
          </cell>
          <cell r="K364" t="str">
            <v>95H KORUKKAI,KORUKKAI TAMILNADU,Tiruvannamalai</v>
          </cell>
          <cell r="L364" t="str">
            <v>Tamil Nadu</v>
          </cell>
          <cell r="M364" t="str">
            <v>Jasmine Nagar, Nailavanpalayam, Murugarpalayam, Tiruvannamalai, TN - 606603</v>
          </cell>
          <cell r="N364" t="str">
            <v>Tamil Nadu</v>
          </cell>
          <cell r="O364" t="str">
            <v>Assets Shifting</v>
          </cell>
          <cell r="P364">
            <v>8500</v>
          </cell>
          <cell r="Q364">
            <v>0</v>
          </cell>
          <cell r="R364">
            <v>0</v>
          </cell>
          <cell r="S364">
            <v>0</v>
          </cell>
          <cell r="T364">
            <v>1530</v>
          </cell>
          <cell r="U364">
            <v>0</v>
          </cell>
          <cell r="V364">
            <v>10030</v>
          </cell>
          <cell r="W364">
            <v>85</v>
          </cell>
          <cell r="X364">
            <v>0.01</v>
          </cell>
          <cell r="Y364">
            <v>9945</v>
          </cell>
          <cell r="AC364">
            <v>9945</v>
          </cell>
          <cell r="AJ364">
            <v>8500</v>
          </cell>
        </row>
        <row r="365">
          <cell r="B365">
            <v>7013</v>
          </cell>
          <cell r="C365" t="str">
            <v>NCR-Rahul</v>
          </cell>
          <cell r="D365" t="str">
            <v>Assets Shifting</v>
          </cell>
          <cell r="E365" t="str">
            <v>S1BJ000900086</v>
          </cell>
          <cell r="F365">
            <v>45936</v>
          </cell>
          <cell r="G365" t="str">
            <v>SSS/2025-26/0111</v>
          </cell>
          <cell r="H365" t="str">
            <v>Str8 &amp; Secure Services</v>
          </cell>
          <cell r="I365" t="str">
            <v>AQIPG2144B</v>
          </cell>
          <cell r="J365" t="str">
            <v>07AQIPG2144B1ZF</v>
          </cell>
          <cell r="K365" t="str">
            <v>EAST COAST ROAD, ANUMANDAI,ANUMANDAI, MARAKKANAM,Viluppuram</v>
          </cell>
          <cell r="L365" t="str">
            <v>Tamil Nadu</v>
          </cell>
          <cell r="M365" t="str">
            <v>PETIT CANAL ST, OPP to POTHYS SILK, PONDY</v>
          </cell>
          <cell r="N365" t="str">
            <v>Tamil Nadu</v>
          </cell>
          <cell r="O365" t="str">
            <v>Assets Shifting</v>
          </cell>
          <cell r="P365">
            <v>8500</v>
          </cell>
          <cell r="Q365">
            <v>0</v>
          </cell>
          <cell r="R365">
            <v>0</v>
          </cell>
          <cell r="S365">
            <v>0</v>
          </cell>
          <cell r="T365">
            <v>1530</v>
          </cell>
          <cell r="U365">
            <v>0</v>
          </cell>
          <cell r="V365">
            <v>10030</v>
          </cell>
          <cell r="W365">
            <v>85</v>
          </cell>
          <cell r="X365">
            <v>0.01</v>
          </cell>
          <cell r="Y365">
            <v>9945</v>
          </cell>
          <cell r="AC365">
            <v>9945</v>
          </cell>
          <cell r="AJ365">
            <v>8500</v>
          </cell>
        </row>
        <row r="366">
          <cell r="B366">
            <v>7014</v>
          </cell>
          <cell r="C366" t="str">
            <v>NCR-Rahul</v>
          </cell>
          <cell r="D366" t="str">
            <v>Assets Shifting</v>
          </cell>
          <cell r="E366" t="str">
            <v>S1BJ000938045</v>
          </cell>
          <cell r="F366">
            <v>45936</v>
          </cell>
          <cell r="G366" t="str">
            <v>SSS/2025-26/0111</v>
          </cell>
          <cell r="H366" t="str">
            <v>Str8 &amp; Secure Services</v>
          </cell>
          <cell r="I366" t="str">
            <v>AQIPG2144B</v>
          </cell>
          <cell r="J366" t="str">
            <v>07AQIPG2144B1ZF</v>
          </cell>
          <cell r="K366" t="str">
            <v>VALAALKARA STREET,GANDHINAGAR,Tiruvannamalai</v>
          </cell>
          <cell r="L366" t="str">
            <v>Tamil Nadu</v>
          </cell>
          <cell r="M366" t="str">
            <v>Jasmine Nagar, Nailavanpalayam, Murugarpalayam, Tiruvannamalai, TN - 606603</v>
          </cell>
          <cell r="N366" t="str">
            <v>Tamil Nadu</v>
          </cell>
          <cell r="O366" t="str">
            <v>Assets Shifting</v>
          </cell>
          <cell r="P366">
            <v>8500</v>
          </cell>
          <cell r="Q366">
            <v>0</v>
          </cell>
          <cell r="R366">
            <v>0</v>
          </cell>
          <cell r="S366">
            <v>0</v>
          </cell>
          <cell r="T366">
            <v>1530</v>
          </cell>
          <cell r="U366">
            <v>0</v>
          </cell>
          <cell r="V366">
            <v>10030</v>
          </cell>
          <cell r="W366">
            <v>85</v>
          </cell>
          <cell r="X366">
            <v>0.01</v>
          </cell>
          <cell r="Y366">
            <v>9945</v>
          </cell>
          <cell r="AC366">
            <v>9945</v>
          </cell>
          <cell r="AJ366">
            <v>8500</v>
          </cell>
        </row>
        <row r="367">
          <cell r="B367">
            <v>7015</v>
          </cell>
          <cell r="C367" t="str">
            <v>NCR-Rahul</v>
          </cell>
          <cell r="D367" t="str">
            <v>Assets Shifting</v>
          </cell>
          <cell r="E367" t="str">
            <v>S1NJ000938051</v>
          </cell>
          <cell r="F367">
            <v>45936</v>
          </cell>
          <cell r="G367" t="str">
            <v>SSS/2025-26/0111</v>
          </cell>
          <cell r="H367" t="str">
            <v>Str8 &amp; Secure Services</v>
          </cell>
          <cell r="I367" t="str">
            <v>AQIPG2144B</v>
          </cell>
          <cell r="J367" t="str">
            <v>07AQIPG2144B1ZF</v>
          </cell>
          <cell r="K367" t="str">
            <v>IYYANKULAM NEAR AYYANKULAM TANK,TIRUVANNAMALAI,Tiruvannamalai</v>
          </cell>
          <cell r="L367" t="str">
            <v>Tamil Nadu</v>
          </cell>
          <cell r="M367" t="str">
            <v>Jasmine Nagar, Nailavanpalayam, Murugarpalayam, Tiruvannamalai, TN - 606603</v>
          </cell>
          <cell r="N367" t="str">
            <v>Tamil Nadu</v>
          </cell>
          <cell r="O367" t="str">
            <v>Assets Shifting</v>
          </cell>
          <cell r="P367">
            <v>8500</v>
          </cell>
          <cell r="Q367">
            <v>0</v>
          </cell>
          <cell r="R367">
            <v>0</v>
          </cell>
          <cell r="S367">
            <v>0</v>
          </cell>
          <cell r="T367">
            <v>1530</v>
          </cell>
          <cell r="U367">
            <v>0</v>
          </cell>
          <cell r="V367">
            <v>10030</v>
          </cell>
          <cell r="W367">
            <v>85</v>
          </cell>
          <cell r="X367">
            <v>0.01</v>
          </cell>
          <cell r="Y367">
            <v>9945</v>
          </cell>
          <cell r="AC367">
            <v>9945</v>
          </cell>
          <cell r="AJ367">
            <v>8500</v>
          </cell>
        </row>
        <row r="368">
          <cell r="B368">
            <v>7016</v>
          </cell>
          <cell r="C368" t="str">
            <v>NCR-Rahul</v>
          </cell>
          <cell r="D368" t="str">
            <v>Assets Shifting</v>
          </cell>
          <cell r="E368" t="str">
            <v>BHNZ000943057</v>
          </cell>
          <cell r="F368">
            <v>45936</v>
          </cell>
          <cell r="G368" t="str">
            <v>SSS/2025-26/0111</v>
          </cell>
          <cell r="H368" t="str">
            <v>Str8 &amp; Secure Services</v>
          </cell>
          <cell r="I368" t="str">
            <v>AQIPG2144B</v>
          </cell>
          <cell r="J368" t="str">
            <v>07AQIPG2144B1ZF</v>
          </cell>
          <cell r="K368" t="str">
            <v>NEAR STAR DECORATIONS, THERESPURAM,,AANDAL STREET CONNECTION ROAD,,Thoothukkudi</v>
          </cell>
          <cell r="L368" t="str">
            <v>Tamil Nadu</v>
          </cell>
          <cell r="M368" t="str">
            <v>No. 306, Beach Road, Regional business office, Tuticorin</v>
          </cell>
          <cell r="N368" t="str">
            <v>Tamil Nadu</v>
          </cell>
          <cell r="O368" t="str">
            <v>Assets Shifting</v>
          </cell>
          <cell r="P368">
            <v>8500</v>
          </cell>
          <cell r="Q368">
            <v>0</v>
          </cell>
          <cell r="R368">
            <v>0</v>
          </cell>
          <cell r="S368">
            <v>0</v>
          </cell>
          <cell r="T368">
            <v>1530</v>
          </cell>
          <cell r="U368">
            <v>0</v>
          </cell>
          <cell r="V368">
            <v>10030</v>
          </cell>
          <cell r="W368">
            <v>85</v>
          </cell>
          <cell r="X368">
            <v>0.01</v>
          </cell>
          <cell r="Y368">
            <v>9945</v>
          </cell>
          <cell r="AC368">
            <v>9945</v>
          </cell>
          <cell r="AJ368">
            <v>8500</v>
          </cell>
        </row>
        <row r="369">
          <cell r="B369">
            <v>7012</v>
          </cell>
          <cell r="C369" t="str">
            <v>NCR-Rahul</v>
          </cell>
          <cell r="D369" t="str">
            <v>Assets Shifting</v>
          </cell>
          <cell r="E369" t="str">
            <v>BHNZ000899031</v>
          </cell>
          <cell r="F369">
            <v>45936</v>
          </cell>
          <cell r="G369" t="str">
            <v>SSS/2025-26/0111</v>
          </cell>
          <cell r="H369" t="str">
            <v>Str8 &amp; Secure Services</v>
          </cell>
          <cell r="I369" t="str">
            <v>AQIPG2144B</v>
          </cell>
          <cell r="J369" t="str">
            <v>07AQIPG2144B1ZF</v>
          </cell>
          <cell r="K369" t="str">
            <v>11/1A2, VALPARAI MAIN RD,AGRI COLONY POLLACHI,Coimbatore</v>
          </cell>
          <cell r="L369" t="str">
            <v>Tamil Nadu</v>
          </cell>
          <cell r="M369" t="str">
            <v>1, Palaghat Rd, Venkatasa Colony, Pollachi, Tamil Nadu 642001</v>
          </cell>
          <cell r="N369" t="str">
            <v>Tamil Nadu</v>
          </cell>
          <cell r="O369" t="str">
            <v>Assets Shifting</v>
          </cell>
          <cell r="P369">
            <v>8500</v>
          </cell>
          <cell r="Q369">
            <v>0</v>
          </cell>
          <cell r="R369">
            <v>0</v>
          </cell>
          <cell r="S369">
            <v>0</v>
          </cell>
          <cell r="T369">
            <v>1530</v>
          </cell>
          <cell r="U369">
            <v>0</v>
          </cell>
          <cell r="V369">
            <v>10030</v>
          </cell>
          <cell r="W369">
            <v>85</v>
          </cell>
          <cell r="X369">
            <v>0.01</v>
          </cell>
          <cell r="Y369">
            <v>9945</v>
          </cell>
          <cell r="AC369">
            <v>9945</v>
          </cell>
          <cell r="AJ369">
            <v>8500</v>
          </cell>
        </row>
        <row r="370">
          <cell r="B370">
            <v>7017</v>
          </cell>
          <cell r="C370" t="str">
            <v>NCR-Rahul</v>
          </cell>
          <cell r="D370" t="str">
            <v>Assets Shifting</v>
          </cell>
          <cell r="E370" t="str">
            <v>S1BJ000793013</v>
          </cell>
          <cell r="F370">
            <v>45936</v>
          </cell>
          <cell r="G370" t="str">
            <v>SSS/2025-26/0111</v>
          </cell>
          <cell r="H370" t="str">
            <v>Str8 &amp; Secure Services</v>
          </cell>
          <cell r="I370" t="str">
            <v>AQIPG2144B</v>
          </cell>
          <cell r="J370" t="str">
            <v>07AQIPG2144B1ZF</v>
          </cell>
          <cell r="K370" t="str">
            <v>Nagavedu Nemili Road,Nemili Road Nagavedu,Vellore</v>
          </cell>
          <cell r="L370" t="str">
            <v>Tamil Nadu</v>
          </cell>
          <cell r="M370" t="str">
            <v>159, Sholingur Rd, Arakkonam, Tamil Nadu 631001</v>
          </cell>
          <cell r="N370" t="str">
            <v>Tamil Nadu</v>
          </cell>
          <cell r="O370" t="str">
            <v>Assets Shifting</v>
          </cell>
          <cell r="P370">
            <v>8500</v>
          </cell>
          <cell r="Q370">
            <v>0</v>
          </cell>
          <cell r="R370">
            <v>0</v>
          </cell>
          <cell r="S370">
            <v>0</v>
          </cell>
          <cell r="T370">
            <v>1530</v>
          </cell>
          <cell r="U370">
            <v>0</v>
          </cell>
          <cell r="V370">
            <v>10030</v>
          </cell>
          <cell r="W370">
            <v>85</v>
          </cell>
          <cell r="X370">
            <v>0.01</v>
          </cell>
          <cell r="Y370">
            <v>9945</v>
          </cell>
          <cell r="AC370">
            <v>9945</v>
          </cell>
          <cell r="AJ370">
            <v>8500</v>
          </cell>
        </row>
        <row r="371">
          <cell r="B371">
            <v>7018</v>
          </cell>
          <cell r="C371" t="str">
            <v>NCR-Rahul</v>
          </cell>
          <cell r="D371" t="str">
            <v>Assets Shifting</v>
          </cell>
          <cell r="E371" t="str">
            <v>S1BW000793015</v>
          </cell>
          <cell r="F371">
            <v>45936</v>
          </cell>
          <cell r="G371" t="str">
            <v>SSS/2025-26/0111</v>
          </cell>
          <cell r="H371" t="str">
            <v>Str8 &amp; Secure Services</v>
          </cell>
          <cell r="I371" t="str">
            <v>AQIPG2144B</v>
          </cell>
          <cell r="J371" t="str">
            <v>07AQIPG2144B1ZF</v>
          </cell>
          <cell r="K371" t="str">
            <v>Ganesh Ngr  Arakonam,No. 19 Thiruthani Road,  Arakonam,Vellore</v>
          </cell>
          <cell r="L371" t="str">
            <v>Tamil Nadu</v>
          </cell>
          <cell r="M371" t="str">
            <v>159, Sholingur Rd, Arakkonam, Tamil Nadu 631001</v>
          </cell>
          <cell r="N371" t="str">
            <v>Tamil Nadu</v>
          </cell>
          <cell r="O371" t="str">
            <v>Assets Shifting</v>
          </cell>
          <cell r="P371">
            <v>8500</v>
          </cell>
          <cell r="Q371">
            <v>0</v>
          </cell>
          <cell r="R371">
            <v>0</v>
          </cell>
          <cell r="S371">
            <v>0</v>
          </cell>
          <cell r="T371">
            <v>1530</v>
          </cell>
          <cell r="U371">
            <v>0</v>
          </cell>
          <cell r="V371">
            <v>10030</v>
          </cell>
          <cell r="W371">
            <v>85</v>
          </cell>
          <cell r="X371">
            <v>0.01</v>
          </cell>
          <cell r="Y371">
            <v>9945</v>
          </cell>
          <cell r="AC371">
            <v>9945</v>
          </cell>
          <cell r="AJ371">
            <v>8500</v>
          </cell>
        </row>
        <row r="372">
          <cell r="B372">
            <v>2211</v>
          </cell>
          <cell r="C372" t="str">
            <v>Hitachi</v>
          </cell>
          <cell r="D372" t="str">
            <v>Assets Shifting</v>
          </cell>
          <cell r="E372" t="str">
            <v>MPZ05993</v>
          </cell>
          <cell r="F372">
            <v>45936</v>
          </cell>
          <cell r="G372" t="str">
            <v>SSS/2025-26/0108</v>
          </cell>
          <cell r="H372" t="str">
            <v>Str8 &amp; Secure Services</v>
          </cell>
          <cell r="I372" t="str">
            <v>AQIPG2144B</v>
          </cell>
          <cell r="J372" t="str">
            <v>07AQIPG2144B1ZF</v>
          </cell>
          <cell r="K372" t="str">
            <v>ShopOfMrSatiahbhaiPatel,ShopNo-1,BagvaliSheri,VillageHajira,TaheailChorasi,DistSurat</v>
          </cell>
          <cell r="L372" t="str">
            <v>Gujarat</v>
          </cell>
          <cell r="M372" t="str">
            <v>Plot no 123, Sector 56 Phase IV, Industrial estate, kundli sonipat, sonipat, Haryana, 131028</v>
          </cell>
          <cell r="N372" t="str">
            <v>Haryana</v>
          </cell>
          <cell r="O372" t="str">
            <v>Assets Shifting</v>
          </cell>
          <cell r="P372">
            <v>18500</v>
          </cell>
          <cell r="Q372">
            <v>0</v>
          </cell>
          <cell r="R372">
            <v>0</v>
          </cell>
          <cell r="S372">
            <v>0</v>
          </cell>
          <cell r="T372">
            <v>3330</v>
          </cell>
          <cell r="U372">
            <v>0</v>
          </cell>
          <cell r="V372">
            <v>21830</v>
          </cell>
          <cell r="W372">
            <v>185</v>
          </cell>
          <cell r="X372">
            <v>0.01</v>
          </cell>
          <cell r="Y372">
            <v>21645</v>
          </cell>
          <cell r="AC372">
            <v>21645</v>
          </cell>
          <cell r="AJ372">
            <v>18500</v>
          </cell>
        </row>
        <row r="373">
          <cell r="B373">
            <v>2210</v>
          </cell>
          <cell r="C373" t="str">
            <v>Hitachi</v>
          </cell>
          <cell r="D373" t="str">
            <v>Assets Shifting</v>
          </cell>
          <cell r="E373" t="str">
            <v>MCRM7149</v>
          </cell>
          <cell r="F373">
            <v>45936</v>
          </cell>
          <cell r="G373" t="str">
            <v>SSS/2025-26/0108</v>
          </cell>
          <cell r="H373" t="str">
            <v>Str8 &amp; Secure Services</v>
          </cell>
          <cell r="I373" t="str">
            <v>AQIPG2144B</v>
          </cell>
          <cell r="J373" t="str">
            <v>07AQIPG2144B1ZF</v>
          </cell>
          <cell r="K373" t="str">
            <v>shop no 02, NAVI SEDHAVI, MEHSANA,382705</v>
          </cell>
          <cell r="L373" t="str">
            <v>Gujarat</v>
          </cell>
          <cell r="M373" t="str">
            <v>Kishore Bagai Transport, l-2 Jai Mata Di Compound , 2nd left next to Hetvi Textile, Kalher Bhiwandi, Maharashtra - 421302</v>
          </cell>
          <cell r="N373" t="str">
            <v>Maharashtra</v>
          </cell>
          <cell r="O373" t="str">
            <v>Assets Shifting</v>
          </cell>
          <cell r="P373">
            <v>20000</v>
          </cell>
          <cell r="Q373">
            <v>0</v>
          </cell>
          <cell r="R373">
            <v>0</v>
          </cell>
          <cell r="S373">
            <v>0</v>
          </cell>
          <cell r="T373">
            <v>3600</v>
          </cell>
          <cell r="U373">
            <v>0</v>
          </cell>
          <cell r="V373">
            <v>23600</v>
          </cell>
          <cell r="W373">
            <v>200</v>
          </cell>
          <cell r="X373">
            <v>0.01</v>
          </cell>
          <cell r="Y373">
            <v>23400</v>
          </cell>
          <cell r="AC373">
            <v>23400</v>
          </cell>
          <cell r="AJ373">
            <v>20000</v>
          </cell>
        </row>
        <row r="374">
          <cell r="B374">
            <v>2209</v>
          </cell>
          <cell r="C374" t="str">
            <v>Hitachi</v>
          </cell>
          <cell r="D374" t="str">
            <v>Assets Shifting</v>
          </cell>
          <cell r="E374" t="str">
            <v>MCRM7385</v>
          </cell>
          <cell r="F374">
            <v>45936</v>
          </cell>
          <cell r="G374" t="str">
            <v>SSS/2025-26/0108</v>
          </cell>
          <cell r="H374" t="str">
            <v>Str8 &amp; Secure Services</v>
          </cell>
          <cell r="I374" t="str">
            <v>AQIPG2144B</v>
          </cell>
          <cell r="J374" t="str">
            <v>07AQIPG2144B1ZF</v>
          </cell>
          <cell r="K374" t="str">
            <v>SHOP NO 7, SADRA,KADI,MEHSANA, GUJARAT - 382715</v>
          </cell>
          <cell r="L374" t="str">
            <v>Gujarat</v>
          </cell>
          <cell r="M374" t="str">
            <v>Kishore Bagai Transport, l-2 Jai Mata Di Compound , 2nd left next to Hetvi Textile, Kalher Bhiwandi, Maharashtra - 421302</v>
          </cell>
          <cell r="N374" t="str">
            <v>Maharashtra</v>
          </cell>
          <cell r="O374" t="str">
            <v>Assets Shifting</v>
          </cell>
          <cell r="P374">
            <v>20000</v>
          </cell>
          <cell r="Q374">
            <v>0</v>
          </cell>
          <cell r="R374">
            <v>0</v>
          </cell>
          <cell r="S374">
            <v>0</v>
          </cell>
          <cell r="T374">
            <v>3600</v>
          </cell>
          <cell r="U374">
            <v>0</v>
          </cell>
          <cell r="V374">
            <v>23600</v>
          </cell>
          <cell r="W374">
            <v>200</v>
          </cell>
          <cell r="X374">
            <v>0.01</v>
          </cell>
          <cell r="Y374">
            <v>23400</v>
          </cell>
          <cell r="AC374">
            <v>23400</v>
          </cell>
          <cell r="AJ374">
            <v>20000</v>
          </cell>
        </row>
        <row r="375">
          <cell r="B375">
            <v>7021</v>
          </cell>
          <cell r="C375" t="str">
            <v>NCR-Rahul</v>
          </cell>
          <cell r="D375" t="str">
            <v>Assets Shifting</v>
          </cell>
          <cell r="E375" t="str">
            <v>S1BB003303003</v>
          </cell>
          <cell r="F375">
            <v>45936</v>
          </cell>
          <cell r="G375" t="str">
            <v>SSS/2025-26/0111</v>
          </cell>
          <cell r="H375" t="str">
            <v>Str8 &amp; Secure Services</v>
          </cell>
          <cell r="I375" t="str">
            <v>AQIPG2144B</v>
          </cell>
          <cell r="J375" t="str">
            <v>07AQIPG2144B1ZF</v>
          </cell>
          <cell r="K375" t="str">
            <v>12, Padipudhunagar,Annanagar West,Chennai</v>
          </cell>
          <cell r="L375" t="str">
            <v>Tamil Nadu</v>
          </cell>
          <cell r="M375" t="str">
            <v>State Bank of India,.NO:5A, North Phase, SIDCO Industrial Estate ,  Ambattur,      Chennai 600050</v>
          </cell>
          <cell r="N375" t="str">
            <v>Tamil Nadu</v>
          </cell>
          <cell r="O375" t="str">
            <v>Assets Shifting</v>
          </cell>
          <cell r="P375">
            <v>8500</v>
          </cell>
          <cell r="Q375">
            <v>0</v>
          </cell>
          <cell r="R375">
            <v>0</v>
          </cell>
          <cell r="S375">
            <v>0</v>
          </cell>
          <cell r="T375">
            <v>1530</v>
          </cell>
          <cell r="U375">
            <v>0</v>
          </cell>
          <cell r="V375">
            <v>10030</v>
          </cell>
          <cell r="W375">
            <v>85</v>
          </cell>
          <cell r="X375">
            <v>0.01</v>
          </cell>
          <cell r="Y375">
            <v>9945</v>
          </cell>
          <cell r="AC375">
            <v>9945</v>
          </cell>
          <cell r="AJ375">
            <v>8500</v>
          </cell>
        </row>
        <row r="376">
          <cell r="B376">
            <v>7024</v>
          </cell>
          <cell r="C376" t="str">
            <v>NCR-Rahul</v>
          </cell>
          <cell r="D376" t="str">
            <v>Assets Shifting</v>
          </cell>
          <cell r="E376" t="str">
            <v>S1NW000853068</v>
          </cell>
          <cell r="F376">
            <v>45936</v>
          </cell>
          <cell r="G376" t="str">
            <v>SSS/2025-26/0111</v>
          </cell>
          <cell r="H376" t="str">
            <v>Str8 &amp; Secure Services</v>
          </cell>
          <cell r="I376" t="str">
            <v>AQIPG2144B</v>
          </cell>
          <cell r="J376" t="str">
            <v>07AQIPG2144B1ZF</v>
          </cell>
          <cell r="K376" t="str">
            <v>39 Road Street,  Krishnavaram,Mel Nemili, Vallam,Tiruvannamalai</v>
          </cell>
          <cell r="L376" t="str">
            <v>Tamil Nadu</v>
          </cell>
          <cell r="M376" t="str">
            <v>Jasmine Nagar, Nailavanpalayam, Murugarpalayam, Tiruvannamalai, TN - 606603</v>
          </cell>
          <cell r="N376" t="str">
            <v>Tamil Nadu</v>
          </cell>
          <cell r="O376" t="str">
            <v>Assets Shifting</v>
          </cell>
          <cell r="P376">
            <v>8500</v>
          </cell>
          <cell r="Q376">
            <v>0</v>
          </cell>
          <cell r="R376">
            <v>0</v>
          </cell>
          <cell r="S376">
            <v>0</v>
          </cell>
          <cell r="T376">
            <v>1530</v>
          </cell>
          <cell r="U376">
            <v>0</v>
          </cell>
          <cell r="V376">
            <v>10030</v>
          </cell>
          <cell r="W376">
            <v>85</v>
          </cell>
          <cell r="X376">
            <v>0.01</v>
          </cell>
          <cell r="Y376">
            <v>9945</v>
          </cell>
          <cell r="AC376">
            <v>9945</v>
          </cell>
          <cell r="AJ376">
            <v>8500</v>
          </cell>
        </row>
        <row r="377">
          <cell r="B377">
            <v>7026</v>
          </cell>
          <cell r="C377" t="str">
            <v>NCR-Rahul</v>
          </cell>
          <cell r="D377" t="str">
            <v>Assets Shifting</v>
          </cell>
          <cell r="E377" t="str">
            <v>BHNZ000869180</v>
          </cell>
          <cell r="F377">
            <v>45936</v>
          </cell>
          <cell r="G377" t="str">
            <v>SSS/2025-26/0111</v>
          </cell>
          <cell r="H377" t="str">
            <v>Str8 &amp; Secure Services</v>
          </cell>
          <cell r="I377" t="str">
            <v>AQIPG2144B</v>
          </cell>
          <cell r="J377" t="str">
            <v>07AQIPG2144B1ZF</v>
          </cell>
          <cell r="K377" t="str">
            <v>OPPOSITE GOVERNMENT HOSPITAL, MELUR,GOVERNMENT HOSPITAL, MELUR,Madurai</v>
          </cell>
          <cell r="L377" t="str">
            <v>Tamil Nadu</v>
          </cell>
          <cell r="M377" t="str">
            <v>SBI,Madurai Kamaraj University, Palkalai Nagar,. Madurai - 625 021</v>
          </cell>
          <cell r="N377" t="str">
            <v>Tamil Nadu</v>
          </cell>
          <cell r="O377" t="str">
            <v>Assets Shifting</v>
          </cell>
          <cell r="P377">
            <v>8500</v>
          </cell>
          <cell r="Q377">
            <v>0</v>
          </cell>
          <cell r="R377">
            <v>0</v>
          </cell>
          <cell r="S377">
            <v>0</v>
          </cell>
          <cell r="T377">
            <v>1530</v>
          </cell>
          <cell r="U377">
            <v>0</v>
          </cell>
          <cell r="V377">
            <v>10030</v>
          </cell>
          <cell r="W377">
            <v>85</v>
          </cell>
          <cell r="X377">
            <v>0.01</v>
          </cell>
          <cell r="Y377">
            <v>9945</v>
          </cell>
          <cell r="AC377">
            <v>9945</v>
          </cell>
          <cell r="AJ377">
            <v>8500</v>
          </cell>
        </row>
        <row r="378">
          <cell r="B378">
            <v>7027</v>
          </cell>
          <cell r="C378" t="str">
            <v>NCR-Rahul</v>
          </cell>
          <cell r="D378" t="str">
            <v>Assets Shifting</v>
          </cell>
          <cell r="E378" t="str">
            <v>BHNZ002277118</v>
          </cell>
          <cell r="F378">
            <v>45936</v>
          </cell>
          <cell r="G378" t="str">
            <v>SSS/2025-26/0111</v>
          </cell>
          <cell r="H378" t="str">
            <v>Str8 &amp; Secure Services</v>
          </cell>
          <cell r="I378" t="str">
            <v>AQIPG2144B</v>
          </cell>
          <cell r="J378" t="str">
            <v>07AQIPG2144B1ZF</v>
          </cell>
          <cell r="K378" t="str">
            <v>LS MILL THENI ROAD,NRT NAGAR, ALLINAGARAM THENI,Theni</v>
          </cell>
          <cell r="L378" t="str">
            <v>Tamil Nadu</v>
          </cell>
          <cell r="M378" t="str">
            <v>SBI, SME Branch, Kappalur, Madurai 625008</v>
          </cell>
          <cell r="N378" t="str">
            <v>Tamil Nadu</v>
          </cell>
          <cell r="O378" t="str">
            <v>Assets Shifting</v>
          </cell>
          <cell r="P378">
            <v>8500</v>
          </cell>
          <cell r="Q378">
            <v>0</v>
          </cell>
          <cell r="R378">
            <v>0</v>
          </cell>
          <cell r="S378">
            <v>0</v>
          </cell>
          <cell r="T378">
            <v>1530</v>
          </cell>
          <cell r="U378">
            <v>0</v>
          </cell>
          <cell r="V378">
            <v>10030</v>
          </cell>
          <cell r="W378">
            <v>85</v>
          </cell>
          <cell r="X378">
            <v>0.01</v>
          </cell>
          <cell r="Y378">
            <v>9945</v>
          </cell>
          <cell r="AC378">
            <v>9945</v>
          </cell>
          <cell r="AJ378">
            <v>8500</v>
          </cell>
        </row>
        <row r="379">
          <cell r="B379">
            <v>7028</v>
          </cell>
          <cell r="C379" t="str">
            <v>NCR-Rahul</v>
          </cell>
          <cell r="D379" t="str">
            <v>Assets Shifting</v>
          </cell>
          <cell r="E379" t="str">
            <v>BHNZ000835152</v>
          </cell>
          <cell r="F379">
            <v>45936</v>
          </cell>
          <cell r="G379" t="str">
            <v>SSS/2025-26/0111</v>
          </cell>
          <cell r="H379" t="str">
            <v>Str8 &amp; Secure Services</v>
          </cell>
          <cell r="I379" t="str">
            <v>AQIPG2144B</v>
          </cell>
          <cell r="J379" t="str">
            <v>07AQIPG2144B1ZF</v>
          </cell>
          <cell r="K379" t="str">
            <v>DEVATHOOR  KALLIMANDHAYAM,3/99-1, SUGUMAR COMPLEX, DHARAPURAM ROAD,Dindigul</v>
          </cell>
          <cell r="L379" t="str">
            <v>Tamil Nadu</v>
          </cell>
          <cell r="M379" t="str">
            <v>SBI, KALLIMANDHAYAM Branch,DHARAPURAM ROAD,Dindigul Dt- 624616</v>
          </cell>
          <cell r="N379" t="str">
            <v>Tamil Nadu</v>
          </cell>
          <cell r="O379" t="str">
            <v>Assets Shifting</v>
          </cell>
          <cell r="P379">
            <v>8500</v>
          </cell>
          <cell r="Q379">
            <v>0</v>
          </cell>
          <cell r="R379">
            <v>0</v>
          </cell>
          <cell r="S379">
            <v>0</v>
          </cell>
          <cell r="T379">
            <v>1530</v>
          </cell>
          <cell r="U379">
            <v>0</v>
          </cell>
          <cell r="V379">
            <v>10030</v>
          </cell>
          <cell r="W379">
            <v>85</v>
          </cell>
          <cell r="X379">
            <v>0.01</v>
          </cell>
          <cell r="Y379">
            <v>9945</v>
          </cell>
          <cell r="AC379">
            <v>9945</v>
          </cell>
          <cell r="AJ379">
            <v>8500</v>
          </cell>
        </row>
        <row r="380">
          <cell r="B380">
            <v>7029</v>
          </cell>
          <cell r="C380" t="str">
            <v>NCR-Rahul</v>
          </cell>
          <cell r="D380" t="str">
            <v>Assets Shifting</v>
          </cell>
          <cell r="E380" t="str">
            <v>BHBZ000835206</v>
          </cell>
          <cell r="F380">
            <v>45936</v>
          </cell>
          <cell r="G380" t="str">
            <v>SSS/2025-26/0111</v>
          </cell>
          <cell r="H380" t="str">
            <v>Str8 &amp; Secure Services</v>
          </cell>
          <cell r="I380" t="str">
            <v>AQIPG2144B</v>
          </cell>
          <cell r="J380" t="str">
            <v>07AQIPG2144B1ZF</v>
          </cell>
          <cell r="K380" t="str">
            <v>SUKUMAR COMPLEX, DHARAPURAM ROAD,KALLIMANDAYAM, ODDANCHATRAM,Dindigul</v>
          </cell>
          <cell r="L380" t="str">
            <v>Tamil Nadu</v>
          </cell>
          <cell r="M380" t="str">
            <v>SBI, KALLIMANDHAYAM Branch,DHARAPURAM ROAD,Dindigul Dt- 624616</v>
          </cell>
          <cell r="N380" t="str">
            <v>Tamil Nadu</v>
          </cell>
          <cell r="O380" t="str">
            <v>Assets Shifting</v>
          </cell>
          <cell r="P380">
            <v>8500</v>
          </cell>
          <cell r="Q380">
            <v>0</v>
          </cell>
          <cell r="R380">
            <v>0</v>
          </cell>
          <cell r="S380">
            <v>0</v>
          </cell>
          <cell r="T380">
            <v>1530</v>
          </cell>
          <cell r="U380">
            <v>0</v>
          </cell>
          <cell r="V380">
            <v>10030</v>
          </cell>
          <cell r="W380">
            <v>85</v>
          </cell>
          <cell r="X380">
            <v>0.01</v>
          </cell>
          <cell r="Y380">
            <v>9945</v>
          </cell>
          <cell r="AC380">
            <v>9945</v>
          </cell>
          <cell r="AJ380">
            <v>8500</v>
          </cell>
        </row>
        <row r="381">
          <cell r="B381">
            <v>7020</v>
          </cell>
          <cell r="C381" t="str">
            <v>NCR-Rahul</v>
          </cell>
          <cell r="D381" t="str">
            <v>Assets Shifting</v>
          </cell>
          <cell r="E381" t="str">
            <v>94-90154590</v>
          </cell>
          <cell r="F381">
            <v>45936</v>
          </cell>
          <cell r="G381" t="str">
            <v>SSS/2025-26/0111</v>
          </cell>
          <cell r="H381" t="str">
            <v>Str8 &amp; Secure Services</v>
          </cell>
          <cell r="I381" t="str">
            <v>AQIPG2144B</v>
          </cell>
          <cell r="J381" t="str">
            <v>07AQIPG2144B1ZF</v>
          </cell>
          <cell r="K381" t="str">
            <v>The Karur Vysya Bank Ltd,CHENNAI ADAMBAKKAM BRANCH,NO.19/10, 3RD MAIN STREET, OFFICER'S COLONY,ADAMBAKKAM, CHENNAI  600088</v>
          </cell>
          <cell r="L381" t="str">
            <v>Tamil Nadu</v>
          </cell>
          <cell r="M381" t="str">
            <v>No. 29/1, Velachery Main Road, Pallikaranai, Chennai - 600100</v>
          </cell>
          <cell r="N381" t="str">
            <v>Tamil Nadu</v>
          </cell>
          <cell r="O381" t="str">
            <v>Assets Shifting</v>
          </cell>
          <cell r="P381">
            <v>4000</v>
          </cell>
          <cell r="Q381">
            <v>0</v>
          </cell>
          <cell r="R381">
            <v>0</v>
          </cell>
          <cell r="S381">
            <v>0</v>
          </cell>
          <cell r="T381">
            <v>720</v>
          </cell>
          <cell r="U381">
            <v>0</v>
          </cell>
          <cell r="V381">
            <v>4720</v>
          </cell>
          <cell r="W381">
            <v>40</v>
          </cell>
          <cell r="X381">
            <v>0.01</v>
          </cell>
          <cell r="Y381">
            <v>4680</v>
          </cell>
          <cell r="AC381">
            <v>4680</v>
          </cell>
          <cell r="AJ381">
            <v>4000</v>
          </cell>
        </row>
        <row r="382">
          <cell r="B382">
            <v>7034</v>
          </cell>
          <cell r="C382" t="str">
            <v>NCR-Rahul</v>
          </cell>
          <cell r="D382" t="str">
            <v>Assets Shifting</v>
          </cell>
          <cell r="E382" t="str">
            <v>BHNZ000800232</v>
          </cell>
          <cell r="F382">
            <v>45936</v>
          </cell>
          <cell r="G382" t="str">
            <v>SSS/2025-26/0111</v>
          </cell>
          <cell r="H382" t="str">
            <v>Str8 &amp; Secure Services</v>
          </cell>
          <cell r="I382" t="str">
            <v>AQIPG2144B</v>
          </cell>
          <cell r="J382" t="str">
            <v>07AQIPG2144B1ZF</v>
          </cell>
          <cell r="K382" t="str">
            <v>No;4/330A, Thambu Chetty Street,Thambu Chetty Street, Chennai,Chennai</v>
          </cell>
          <cell r="L382" t="str">
            <v>Tamil Nadu</v>
          </cell>
          <cell r="M382" t="str">
            <v>State Bank of India,.NO:5A North Phase, SIDCO Industrial Estate. Ambattur, Chennai 600050</v>
          </cell>
          <cell r="N382" t="str">
            <v>Tamil Nadu</v>
          </cell>
          <cell r="O382" t="str">
            <v>Assets Shifting</v>
          </cell>
          <cell r="P382">
            <v>8500</v>
          </cell>
          <cell r="Q382">
            <v>0</v>
          </cell>
          <cell r="R382">
            <v>0</v>
          </cell>
          <cell r="S382">
            <v>0</v>
          </cell>
          <cell r="T382">
            <v>1530</v>
          </cell>
          <cell r="U382">
            <v>0</v>
          </cell>
          <cell r="V382">
            <v>10030</v>
          </cell>
          <cell r="W382">
            <v>85</v>
          </cell>
          <cell r="X382">
            <v>0.01</v>
          </cell>
          <cell r="Y382">
            <v>9945</v>
          </cell>
          <cell r="AC382">
            <v>9945</v>
          </cell>
          <cell r="AJ382">
            <v>8500</v>
          </cell>
        </row>
        <row r="383">
          <cell r="B383">
            <v>7035</v>
          </cell>
          <cell r="C383" t="str">
            <v>NCR-Rahul</v>
          </cell>
          <cell r="D383" t="str">
            <v>Assets Shifting</v>
          </cell>
          <cell r="E383" t="str">
            <v>BHNZ000800229</v>
          </cell>
          <cell r="F383">
            <v>45936</v>
          </cell>
          <cell r="G383" t="str">
            <v>SSS/2025-26/0111</v>
          </cell>
          <cell r="H383" t="str">
            <v>Str8 &amp; Secure Services</v>
          </cell>
          <cell r="I383" t="str">
            <v>AQIPG2144B</v>
          </cell>
          <cell r="J383" t="str">
            <v>07AQIPG2144B1ZF</v>
          </cell>
          <cell r="K383" t="str">
            <v>38/2, Village Street, Somasundaram Nagar,Somasundaram Nagar, Tiruvottiyur,Thiruvallur</v>
          </cell>
          <cell r="L383" t="str">
            <v>Tamil Nadu</v>
          </cell>
          <cell r="M383" t="str">
            <v>State Bank of India,.NO:5A North Phase, SIDCO Industrial Estate. Ambattur, Chennai 600050</v>
          </cell>
          <cell r="N383" t="str">
            <v>Tamil Nadu</v>
          </cell>
          <cell r="O383" t="str">
            <v>Assets Shifting</v>
          </cell>
          <cell r="P383">
            <v>8500</v>
          </cell>
          <cell r="Q383">
            <v>0</v>
          </cell>
          <cell r="R383">
            <v>0</v>
          </cell>
          <cell r="S383">
            <v>0</v>
          </cell>
          <cell r="T383">
            <v>1530</v>
          </cell>
          <cell r="U383">
            <v>0</v>
          </cell>
          <cell r="V383">
            <v>10030</v>
          </cell>
          <cell r="W383">
            <v>85</v>
          </cell>
          <cell r="X383">
            <v>0.01</v>
          </cell>
          <cell r="Y383">
            <v>9945</v>
          </cell>
          <cell r="AC383">
            <v>9945</v>
          </cell>
          <cell r="AJ383">
            <v>8500</v>
          </cell>
        </row>
        <row r="384">
          <cell r="B384">
            <v>7036</v>
          </cell>
          <cell r="C384" t="str">
            <v>NCR-Rahul</v>
          </cell>
          <cell r="D384" t="str">
            <v>Assets Shifting</v>
          </cell>
          <cell r="E384" t="str">
            <v>S1NW000800015</v>
          </cell>
          <cell r="F384">
            <v>45936</v>
          </cell>
          <cell r="G384" t="str">
            <v>SSS/2025-26/0111</v>
          </cell>
          <cell r="H384" t="str">
            <v>Str8 &amp; Secure Services</v>
          </cell>
          <cell r="I384" t="str">
            <v>AQIPG2144B</v>
          </cell>
          <cell r="J384" t="str">
            <v>07AQIPG2144B1ZF</v>
          </cell>
          <cell r="K384" t="str">
            <v>BHATTACHARYA STREET,AYANAVARAM, CHENNAI,Chennai</v>
          </cell>
          <cell r="L384" t="str">
            <v>Tamil Nadu</v>
          </cell>
          <cell r="M384" t="str">
            <v>State Bank of India,.NO:5A North Phase, SIDCO Industrial Estate. Ambattur, Chennai 600050</v>
          </cell>
          <cell r="N384" t="str">
            <v>Tamil Nadu</v>
          </cell>
          <cell r="O384" t="str">
            <v>Assets Shifting</v>
          </cell>
          <cell r="P384">
            <v>8500</v>
          </cell>
          <cell r="Q384">
            <v>0</v>
          </cell>
          <cell r="R384">
            <v>0</v>
          </cell>
          <cell r="S384">
            <v>0</v>
          </cell>
          <cell r="T384">
            <v>1530</v>
          </cell>
          <cell r="U384">
            <v>0</v>
          </cell>
          <cell r="V384">
            <v>10030</v>
          </cell>
          <cell r="W384">
            <v>85</v>
          </cell>
          <cell r="X384">
            <v>0.01</v>
          </cell>
          <cell r="Y384">
            <v>9945</v>
          </cell>
          <cell r="AC384">
            <v>9945</v>
          </cell>
          <cell r="AJ384">
            <v>8500</v>
          </cell>
        </row>
        <row r="385">
          <cell r="B385">
            <v>7037</v>
          </cell>
          <cell r="C385" t="str">
            <v>NCR-Rahul</v>
          </cell>
          <cell r="D385" t="str">
            <v>Assets Shifting</v>
          </cell>
          <cell r="E385" t="str">
            <v>BHNZ000800231</v>
          </cell>
          <cell r="F385">
            <v>45936</v>
          </cell>
          <cell r="G385" t="str">
            <v>SSS/2025-26/0111</v>
          </cell>
          <cell r="H385" t="str">
            <v>Str8 &amp; Secure Services</v>
          </cell>
          <cell r="I385" t="str">
            <v>AQIPG2144B</v>
          </cell>
          <cell r="J385" t="str">
            <v>07AQIPG2144B1ZF</v>
          </cell>
          <cell r="K385" t="str">
            <v>DOOR NO195, Kilpauk Garden Road,Kilpauk Garden Road, Chennai,Chennai</v>
          </cell>
          <cell r="L385" t="str">
            <v>Tamil Nadu</v>
          </cell>
          <cell r="M385" t="str">
            <v>State Bank of India,.NO:5A North Phase, SIDCO Industrial Estate. Ambattur, Chennai 600050</v>
          </cell>
          <cell r="N385" t="str">
            <v>Tamil Nadu</v>
          </cell>
          <cell r="O385" t="str">
            <v>Assets Shifting</v>
          </cell>
          <cell r="P385">
            <v>8500</v>
          </cell>
          <cell r="Q385">
            <v>0</v>
          </cell>
          <cell r="R385">
            <v>0</v>
          </cell>
          <cell r="S385">
            <v>0</v>
          </cell>
          <cell r="T385">
            <v>1530</v>
          </cell>
          <cell r="U385">
            <v>0</v>
          </cell>
          <cell r="V385">
            <v>10030</v>
          </cell>
          <cell r="W385">
            <v>85</v>
          </cell>
          <cell r="X385">
            <v>0.01</v>
          </cell>
          <cell r="Y385">
            <v>9945</v>
          </cell>
          <cell r="AC385">
            <v>9945</v>
          </cell>
          <cell r="AJ385">
            <v>8500</v>
          </cell>
        </row>
        <row r="386">
          <cell r="B386">
            <v>7038</v>
          </cell>
          <cell r="C386" t="str">
            <v>NCR-Rahul</v>
          </cell>
          <cell r="D386" t="str">
            <v>Assets Shifting</v>
          </cell>
          <cell r="E386" t="str">
            <v>S1NW000800225</v>
          </cell>
          <cell r="F386">
            <v>45936</v>
          </cell>
          <cell r="G386" t="str">
            <v>SSS/2025-26/0111</v>
          </cell>
          <cell r="H386" t="str">
            <v>Str8 &amp; Secure Services</v>
          </cell>
          <cell r="I386" t="str">
            <v>AQIPG2144B</v>
          </cell>
          <cell r="J386" t="str">
            <v>07AQIPG2144B1ZF</v>
          </cell>
          <cell r="K386" t="str">
            <v>294 ERUNKANCHERRY HIGH ROAD,VYASARAPADI, CHENNAI,Chennai</v>
          </cell>
          <cell r="L386" t="str">
            <v>Tamil Nadu</v>
          </cell>
          <cell r="M386" t="str">
            <v>State Bank of India,.NO:5A North Phase, SIDCO Industrial Estate. Ambattur, Chennai 600050</v>
          </cell>
          <cell r="N386" t="str">
            <v>Tamil Nadu</v>
          </cell>
          <cell r="O386" t="str">
            <v>Assets Shifting</v>
          </cell>
          <cell r="P386">
            <v>8500</v>
          </cell>
          <cell r="Q386">
            <v>0</v>
          </cell>
          <cell r="R386">
            <v>0</v>
          </cell>
          <cell r="S386">
            <v>0</v>
          </cell>
          <cell r="T386">
            <v>1530</v>
          </cell>
          <cell r="U386">
            <v>0</v>
          </cell>
          <cell r="V386">
            <v>10030</v>
          </cell>
          <cell r="W386">
            <v>85</v>
          </cell>
          <cell r="X386">
            <v>0.01</v>
          </cell>
          <cell r="Y386">
            <v>9945</v>
          </cell>
          <cell r="AC386">
            <v>9945</v>
          </cell>
          <cell r="AJ386">
            <v>8500</v>
          </cell>
        </row>
        <row r="387">
          <cell r="B387">
            <v>7039</v>
          </cell>
          <cell r="C387" t="str">
            <v>NCR-Rahul</v>
          </cell>
          <cell r="D387" t="str">
            <v>Assets Shifting</v>
          </cell>
          <cell r="E387" t="str">
            <v>S10A000800005</v>
          </cell>
          <cell r="F387">
            <v>45936</v>
          </cell>
          <cell r="G387" t="str">
            <v>SSS/2025-26/0110</v>
          </cell>
          <cell r="H387" t="str">
            <v>Str8 &amp; Secure Services</v>
          </cell>
          <cell r="I387" t="str">
            <v>AQIPG2144B</v>
          </cell>
          <cell r="J387" t="str">
            <v>07AQIPG2144B1ZF</v>
          </cell>
          <cell r="K387" t="str">
            <v>PH ROAD, NGO ANNEXE,PARK TOWN, CHENNAI,Chennai</v>
          </cell>
          <cell r="L387" t="str">
            <v>Tamil Nadu</v>
          </cell>
          <cell r="M387" t="str">
            <v>State Bank of India,.NO:5A North Phase, SIDCO Industrial Estate. Ambattur, Chennai 600050</v>
          </cell>
          <cell r="N387" t="str">
            <v>Tamil Nadu</v>
          </cell>
          <cell r="O387" t="str">
            <v>Assets Shifting</v>
          </cell>
          <cell r="P387">
            <v>2000</v>
          </cell>
          <cell r="Q387">
            <v>0</v>
          </cell>
          <cell r="R387">
            <v>0</v>
          </cell>
          <cell r="S387">
            <v>0</v>
          </cell>
          <cell r="T387">
            <v>360</v>
          </cell>
          <cell r="U387">
            <v>0</v>
          </cell>
          <cell r="V387">
            <v>2360</v>
          </cell>
          <cell r="W387">
            <v>20</v>
          </cell>
          <cell r="X387">
            <v>0.01</v>
          </cell>
          <cell r="Y387">
            <v>2340</v>
          </cell>
          <cell r="AC387">
            <v>2340</v>
          </cell>
          <cell r="AJ387">
            <v>2000</v>
          </cell>
        </row>
        <row r="388">
          <cell r="B388">
            <v>7040</v>
          </cell>
          <cell r="C388" t="str">
            <v>NCR-Rahul</v>
          </cell>
          <cell r="D388" t="str">
            <v>Assets Shifting</v>
          </cell>
          <cell r="E388" t="str">
            <v>BHNZ001020128</v>
          </cell>
          <cell r="F388">
            <v>45936</v>
          </cell>
          <cell r="G388" t="str">
            <v>SSS/2025-26/0111</v>
          </cell>
          <cell r="H388" t="str">
            <v>Str8 &amp; Secure Services</v>
          </cell>
          <cell r="I388" t="str">
            <v>AQIPG2144B</v>
          </cell>
          <cell r="J388" t="str">
            <v>07AQIPG2144B1ZF</v>
          </cell>
          <cell r="K388" t="str">
            <v>MC NICHOLAS ROAD,CHETPET, CHENNAI,Chennai</v>
          </cell>
          <cell r="L388" t="str">
            <v>Tamil Nadu</v>
          </cell>
          <cell r="M388" t="str">
            <v>State Bank of India,.NO:5A North Phase, SIDCO Industrial Estate. Ambattur, Chennai 600050</v>
          </cell>
          <cell r="N388" t="str">
            <v>Tamil Nadu</v>
          </cell>
          <cell r="O388" t="str">
            <v>Assets Shifting</v>
          </cell>
          <cell r="P388">
            <v>8500</v>
          </cell>
          <cell r="Q388">
            <v>0</v>
          </cell>
          <cell r="R388">
            <v>0</v>
          </cell>
          <cell r="S388">
            <v>0</v>
          </cell>
          <cell r="T388">
            <v>1530</v>
          </cell>
          <cell r="U388">
            <v>0</v>
          </cell>
          <cell r="V388">
            <v>10030</v>
          </cell>
          <cell r="W388">
            <v>85</v>
          </cell>
          <cell r="X388">
            <v>0.01</v>
          </cell>
          <cell r="Y388">
            <v>9945</v>
          </cell>
          <cell r="AC388">
            <v>9945</v>
          </cell>
          <cell r="AJ388">
            <v>8500</v>
          </cell>
        </row>
        <row r="389">
          <cell r="B389">
            <v>7044</v>
          </cell>
          <cell r="C389" t="str">
            <v>NCR-Rahul</v>
          </cell>
          <cell r="D389" t="str">
            <v>Assets Shifting</v>
          </cell>
          <cell r="E389" t="str">
            <v>S1BW000793016</v>
          </cell>
          <cell r="F389">
            <v>45936</v>
          </cell>
          <cell r="G389" t="str">
            <v>SSS/2025-26/0110</v>
          </cell>
          <cell r="H389" t="str">
            <v>Str8 &amp; Secure Services</v>
          </cell>
          <cell r="I389" t="str">
            <v>AQIPG2144B</v>
          </cell>
          <cell r="J389" t="str">
            <v>07AQIPG2144B1ZF</v>
          </cell>
          <cell r="K389" t="str">
            <v>Ganesh Ngr  Arakonam,No. 19 Thiruthani Road,  Arakonam,Vellore</v>
          </cell>
          <cell r="L389" t="str">
            <v>Tamil Nadu</v>
          </cell>
          <cell r="M389" t="str">
            <v>State Bank of India,.NO:5A North Phase, SIDCO Industrial Estate. Ambattur, Chennai 600050</v>
          </cell>
          <cell r="N389" t="str">
            <v>Tamil Nadu</v>
          </cell>
          <cell r="O389" t="str">
            <v>Assets Shifting</v>
          </cell>
          <cell r="P389">
            <v>2000</v>
          </cell>
          <cell r="Q389">
            <v>0</v>
          </cell>
          <cell r="R389">
            <v>0</v>
          </cell>
          <cell r="S389">
            <v>0</v>
          </cell>
          <cell r="T389">
            <v>360</v>
          </cell>
          <cell r="U389">
            <v>0</v>
          </cell>
          <cell r="V389">
            <v>2360</v>
          </cell>
          <cell r="W389">
            <v>20</v>
          </cell>
          <cell r="X389">
            <v>0.01</v>
          </cell>
          <cell r="Y389">
            <v>2340</v>
          </cell>
          <cell r="AC389">
            <v>2340</v>
          </cell>
          <cell r="AJ389">
            <v>2000</v>
          </cell>
        </row>
        <row r="390">
          <cell r="B390">
            <v>7045</v>
          </cell>
          <cell r="C390" t="str">
            <v>NCR-Rahul</v>
          </cell>
          <cell r="D390" t="str">
            <v>Assets Shifting</v>
          </cell>
          <cell r="E390" t="str">
            <v>S1BJ000793012</v>
          </cell>
          <cell r="F390">
            <v>45936</v>
          </cell>
          <cell r="G390" t="str">
            <v>SSS/2025-26/0111</v>
          </cell>
          <cell r="H390" t="str">
            <v>Str8 &amp; Secure Services</v>
          </cell>
          <cell r="I390" t="str">
            <v>AQIPG2144B</v>
          </cell>
          <cell r="J390" t="str">
            <v>07AQIPG2144B1ZF</v>
          </cell>
          <cell r="K390" t="str">
            <v>Murugar Koil Back side, Arkonam Road,Murugar Koil Back side, Arkonam Road,Vellore</v>
          </cell>
          <cell r="L390" t="str">
            <v>Tamil Nadu</v>
          </cell>
          <cell r="M390" t="str">
            <v>State Bank of India,.NO:5A North Phase, SIDCO Industrial Estate. Ambattur, Chennai 600050</v>
          </cell>
          <cell r="N390" t="str">
            <v>Tamil Nadu</v>
          </cell>
          <cell r="O390" t="str">
            <v>Assets Shifting</v>
          </cell>
          <cell r="P390">
            <v>8500</v>
          </cell>
          <cell r="Q390">
            <v>0</v>
          </cell>
          <cell r="R390">
            <v>0</v>
          </cell>
          <cell r="S390">
            <v>0</v>
          </cell>
          <cell r="T390">
            <v>1530</v>
          </cell>
          <cell r="U390">
            <v>0</v>
          </cell>
          <cell r="V390">
            <v>10030</v>
          </cell>
          <cell r="W390">
            <v>85</v>
          </cell>
          <cell r="X390">
            <v>0.01</v>
          </cell>
          <cell r="Y390">
            <v>9945</v>
          </cell>
          <cell r="AC390">
            <v>9945</v>
          </cell>
          <cell r="AJ390">
            <v>8500</v>
          </cell>
        </row>
        <row r="391">
          <cell r="B391">
            <v>7046</v>
          </cell>
          <cell r="C391" t="str">
            <v>NCR-Rahul</v>
          </cell>
          <cell r="D391" t="str">
            <v>Assets Shifting</v>
          </cell>
          <cell r="E391" t="str">
            <v>BHNZ003303293</v>
          </cell>
          <cell r="F391">
            <v>45936</v>
          </cell>
          <cell r="G391" t="str">
            <v>SSS/2025-26/0111</v>
          </cell>
          <cell r="H391" t="str">
            <v>Str8 &amp; Secure Services</v>
          </cell>
          <cell r="I391" t="str">
            <v>AQIPG2144B</v>
          </cell>
          <cell r="J391" t="str">
            <v>07AQIPG2144B1ZF</v>
          </cell>
          <cell r="K391" t="str">
            <v>ROMA PARADISE COMMERCIAL BLDG,CHEMBARAMBAKKAM,Thiruvallur</v>
          </cell>
          <cell r="L391" t="str">
            <v>Tamil Nadu</v>
          </cell>
          <cell r="M391" t="str">
            <v>State Bank of India,.NO:5A North Phase, SIDCO Industrial Estate. Ambattur, Chennai 600050</v>
          </cell>
          <cell r="N391" t="str">
            <v>Tamil Nadu</v>
          </cell>
          <cell r="O391" t="str">
            <v>Assets Shifting</v>
          </cell>
          <cell r="P391">
            <v>8500</v>
          </cell>
          <cell r="Q391">
            <v>0</v>
          </cell>
          <cell r="R391">
            <v>0</v>
          </cell>
          <cell r="S391">
            <v>0</v>
          </cell>
          <cell r="T391">
            <v>1530</v>
          </cell>
          <cell r="U391">
            <v>0</v>
          </cell>
          <cell r="V391">
            <v>10030</v>
          </cell>
          <cell r="W391">
            <v>85</v>
          </cell>
          <cell r="X391">
            <v>0.01</v>
          </cell>
          <cell r="Y391">
            <v>9945</v>
          </cell>
          <cell r="AC391">
            <v>9945</v>
          </cell>
          <cell r="AJ391">
            <v>8500</v>
          </cell>
        </row>
        <row r="392">
          <cell r="B392">
            <v>7049</v>
          </cell>
          <cell r="C392" t="str">
            <v>NCR-Rahul</v>
          </cell>
          <cell r="D392" t="str">
            <v>Assets Shifting</v>
          </cell>
          <cell r="E392" t="str">
            <v>BHNZ003303288</v>
          </cell>
          <cell r="F392">
            <v>45936</v>
          </cell>
          <cell r="G392" t="str">
            <v>SSS/2025-26/0111</v>
          </cell>
          <cell r="H392" t="str">
            <v>Str8 &amp; Secure Services</v>
          </cell>
          <cell r="I392" t="str">
            <v>AQIPG2144B</v>
          </cell>
          <cell r="J392" t="str">
            <v>07AQIPG2144B1ZF</v>
          </cell>
          <cell r="K392" t="str">
            <v>58, CHELLIAMMAN KOIL STREET,ATHIPET, AMBATTUR,Thiruvallur</v>
          </cell>
          <cell r="L392" t="str">
            <v>Tamil Nadu</v>
          </cell>
          <cell r="M392" t="str">
            <v>State Bank of India,.NO:5A North Phase, SIDCO Industrial Estate. Ambattur, Chennai 600050</v>
          </cell>
          <cell r="N392" t="str">
            <v>Tamil Nadu</v>
          </cell>
          <cell r="O392" t="str">
            <v>Assets Shifting</v>
          </cell>
          <cell r="P392">
            <v>8500</v>
          </cell>
          <cell r="Q392">
            <v>0</v>
          </cell>
          <cell r="R392">
            <v>0</v>
          </cell>
          <cell r="S392">
            <v>0</v>
          </cell>
          <cell r="T392">
            <v>1530</v>
          </cell>
          <cell r="U392">
            <v>0</v>
          </cell>
          <cell r="V392">
            <v>10030</v>
          </cell>
          <cell r="W392">
            <v>85</v>
          </cell>
          <cell r="X392">
            <v>0.01</v>
          </cell>
          <cell r="Y392">
            <v>9945</v>
          </cell>
          <cell r="AC392">
            <v>9945</v>
          </cell>
          <cell r="AJ392">
            <v>8500</v>
          </cell>
        </row>
        <row r="393">
          <cell r="B393">
            <v>7050</v>
          </cell>
          <cell r="C393" t="str">
            <v>NCR-Rahul</v>
          </cell>
          <cell r="D393" t="str">
            <v>Assets Shifting</v>
          </cell>
          <cell r="E393" t="str">
            <v>S1BW003303116</v>
          </cell>
          <cell r="F393">
            <v>45936</v>
          </cell>
          <cell r="G393" t="str">
            <v>SSS/2025-26/0111</v>
          </cell>
          <cell r="H393" t="str">
            <v>Str8 &amp; Secure Services</v>
          </cell>
          <cell r="I393" t="str">
            <v>AQIPG2144B</v>
          </cell>
          <cell r="J393" t="str">
            <v>07AQIPG2144B1ZF</v>
          </cell>
          <cell r="K393" t="str">
            <v>ABILASHA COMPLEX, OCF, AVADI,OCF, AVADI,Thiruvallur</v>
          </cell>
          <cell r="L393" t="str">
            <v>Tamil Nadu</v>
          </cell>
          <cell r="M393" t="str">
            <v>State Bank of India,.NO:5A North Phase, SIDCO Industrial Estate. Ambattur, Chennai 600050</v>
          </cell>
          <cell r="N393" t="str">
            <v>Tamil Nadu</v>
          </cell>
          <cell r="O393" t="str">
            <v>Assets Shifting</v>
          </cell>
          <cell r="P393">
            <v>8500</v>
          </cell>
          <cell r="Q393">
            <v>0</v>
          </cell>
          <cell r="R393">
            <v>0</v>
          </cell>
          <cell r="S393">
            <v>0</v>
          </cell>
          <cell r="T393">
            <v>1530</v>
          </cell>
          <cell r="U393">
            <v>0</v>
          </cell>
          <cell r="V393">
            <v>10030</v>
          </cell>
          <cell r="W393">
            <v>85</v>
          </cell>
          <cell r="X393">
            <v>0.01</v>
          </cell>
          <cell r="Y393">
            <v>9945</v>
          </cell>
          <cell r="AC393">
            <v>9945</v>
          </cell>
          <cell r="AJ393">
            <v>8500</v>
          </cell>
        </row>
        <row r="394">
          <cell r="B394">
            <v>7051</v>
          </cell>
          <cell r="C394" t="str">
            <v>NCR-Rahul</v>
          </cell>
          <cell r="D394" t="str">
            <v>Assets Shifting</v>
          </cell>
          <cell r="E394" t="str">
            <v>S1NW003303011</v>
          </cell>
          <cell r="F394">
            <v>45936</v>
          </cell>
          <cell r="G394" t="str">
            <v>SSS/2025-26/0111</v>
          </cell>
          <cell r="H394" t="str">
            <v>Str8 &amp; Secure Services</v>
          </cell>
          <cell r="I394" t="str">
            <v>AQIPG2144B</v>
          </cell>
          <cell r="J394" t="str">
            <v>07AQIPG2144B1ZF</v>
          </cell>
          <cell r="K394" t="str">
            <v>14, KALLIKUPPAM ROAD, ARUMUGAM NAGAR,VENKATAPURAM, AMBATTUR,Thiruvallur</v>
          </cell>
          <cell r="L394" t="str">
            <v>Tamil Nadu</v>
          </cell>
          <cell r="M394" t="str">
            <v>State Bank of India,.NO:5A North Phase, SIDCO Industrial Estate. Ambattur, Chennai 600050</v>
          </cell>
          <cell r="N394" t="str">
            <v>Tamil Nadu</v>
          </cell>
          <cell r="O394" t="str">
            <v>Assets Shifting</v>
          </cell>
          <cell r="P394">
            <v>8500</v>
          </cell>
          <cell r="Q394">
            <v>0</v>
          </cell>
          <cell r="R394">
            <v>0</v>
          </cell>
          <cell r="S394">
            <v>0</v>
          </cell>
          <cell r="T394">
            <v>1530</v>
          </cell>
          <cell r="U394">
            <v>0</v>
          </cell>
          <cell r="V394">
            <v>10030</v>
          </cell>
          <cell r="W394">
            <v>85</v>
          </cell>
          <cell r="X394">
            <v>0.01</v>
          </cell>
          <cell r="Y394">
            <v>9945</v>
          </cell>
          <cell r="AC394">
            <v>9945</v>
          </cell>
          <cell r="AJ394">
            <v>8500</v>
          </cell>
        </row>
        <row r="395">
          <cell r="B395">
            <v>7052</v>
          </cell>
          <cell r="C395" t="str">
            <v>NCR-Rahul</v>
          </cell>
          <cell r="D395" t="str">
            <v>Assets Shifting</v>
          </cell>
          <cell r="E395" t="str">
            <v>BHNZ003303278</v>
          </cell>
          <cell r="F395">
            <v>45936</v>
          </cell>
          <cell r="G395" t="str">
            <v>SSS/2025-26/0111</v>
          </cell>
          <cell r="H395" t="str">
            <v>Str8 &amp; Secure Services</v>
          </cell>
          <cell r="I395" t="str">
            <v>AQIPG2144B</v>
          </cell>
          <cell r="J395" t="str">
            <v>07AQIPG2144B1ZF</v>
          </cell>
          <cell r="K395" t="str">
            <v>65, VIMALPURAM ,,CHINNASEKKADU, MANALI,Thiruvallur</v>
          </cell>
          <cell r="L395" t="str">
            <v>Tamil Nadu</v>
          </cell>
          <cell r="M395" t="str">
            <v>State Bank of India,.NO:5A North Phase, SIDCO Industrial Estate. Ambattur, Chennai 600050</v>
          </cell>
          <cell r="N395" t="str">
            <v>Tamil Nadu</v>
          </cell>
          <cell r="O395" t="str">
            <v>Assets Shifting</v>
          </cell>
          <cell r="P395">
            <v>8500</v>
          </cell>
          <cell r="Q395">
            <v>0</v>
          </cell>
          <cell r="R395">
            <v>0</v>
          </cell>
          <cell r="S395">
            <v>0</v>
          </cell>
          <cell r="T395">
            <v>1530</v>
          </cell>
          <cell r="U395">
            <v>0</v>
          </cell>
          <cell r="V395">
            <v>10030</v>
          </cell>
          <cell r="W395">
            <v>85</v>
          </cell>
          <cell r="X395">
            <v>0.01</v>
          </cell>
          <cell r="Y395">
            <v>9945</v>
          </cell>
          <cell r="AC395">
            <v>9945</v>
          </cell>
          <cell r="AJ395">
            <v>8500</v>
          </cell>
        </row>
        <row r="396">
          <cell r="B396">
            <v>7053</v>
          </cell>
          <cell r="C396" t="str">
            <v>NCR-Rahul</v>
          </cell>
          <cell r="D396" t="str">
            <v>Assets Shifting</v>
          </cell>
          <cell r="E396" t="str">
            <v>BHNZ003303279</v>
          </cell>
          <cell r="F396">
            <v>45936</v>
          </cell>
          <cell r="G396" t="str">
            <v>SSS/2025-26/0111</v>
          </cell>
          <cell r="H396" t="str">
            <v>Str8 &amp; Secure Services</v>
          </cell>
          <cell r="I396" t="str">
            <v>AQIPG2144B</v>
          </cell>
          <cell r="J396" t="str">
            <v>07AQIPG2144B1ZF</v>
          </cell>
          <cell r="K396" t="str">
            <v>5795, PERIYATHOPPU,,SASTRINAGAR, MANALI MADHAVARAM ROAD,Thiruvallur</v>
          </cell>
          <cell r="L396" t="str">
            <v>Tamil Nadu</v>
          </cell>
          <cell r="M396" t="str">
            <v>State Bank of India,.NO:5A North Phase, SIDCO Industrial Estate. Ambattur, Chennai 600050</v>
          </cell>
          <cell r="N396" t="str">
            <v>Tamil Nadu</v>
          </cell>
          <cell r="O396" t="str">
            <v>Assets Shifting</v>
          </cell>
          <cell r="P396">
            <v>8500</v>
          </cell>
          <cell r="Q396">
            <v>0</v>
          </cell>
          <cell r="R396">
            <v>0</v>
          </cell>
          <cell r="S396">
            <v>0</v>
          </cell>
          <cell r="T396">
            <v>1530</v>
          </cell>
          <cell r="U396">
            <v>0</v>
          </cell>
          <cell r="V396">
            <v>10030</v>
          </cell>
          <cell r="W396">
            <v>85</v>
          </cell>
          <cell r="X396">
            <v>0.01</v>
          </cell>
          <cell r="Y396">
            <v>9945</v>
          </cell>
          <cell r="AC396">
            <v>9945</v>
          </cell>
          <cell r="AJ396">
            <v>8500</v>
          </cell>
        </row>
        <row r="397">
          <cell r="B397">
            <v>7054</v>
          </cell>
          <cell r="C397" t="str">
            <v>NCR-Rahul</v>
          </cell>
          <cell r="D397" t="str">
            <v>Assets Shifting</v>
          </cell>
          <cell r="E397" t="str">
            <v>BHNZ003303298</v>
          </cell>
          <cell r="F397">
            <v>45936</v>
          </cell>
          <cell r="G397" t="str">
            <v>SSS/2025-26/0111</v>
          </cell>
          <cell r="H397" t="str">
            <v>Str8 &amp; Secure Services</v>
          </cell>
          <cell r="I397" t="str">
            <v>AQIPG2144B</v>
          </cell>
          <cell r="J397" t="str">
            <v>07AQIPG2144B1ZF</v>
          </cell>
          <cell r="K397" t="str">
            <v>1/63, NEAR V4 RAJAMANGALAM POLICE STATION,SUBRAMANIAPURAM, KOLATHUR,Chennai</v>
          </cell>
          <cell r="L397" t="str">
            <v>Tamil Nadu</v>
          </cell>
          <cell r="M397" t="str">
            <v>State Bank of India,.NO:5A North Phase, SIDCO Industrial Estate. Ambattur, Chennai 600050</v>
          </cell>
          <cell r="N397" t="str">
            <v>Tamil Nadu</v>
          </cell>
          <cell r="O397" t="str">
            <v>Assets Shifting</v>
          </cell>
          <cell r="P397">
            <v>8500</v>
          </cell>
          <cell r="Q397">
            <v>0</v>
          </cell>
          <cell r="R397">
            <v>0</v>
          </cell>
          <cell r="S397">
            <v>0</v>
          </cell>
          <cell r="T397">
            <v>1530</v>
          </cell>
          <cell r="U397">
            <v>0</v>
          </cell>
          <cell r="V397">
            <v>10030</v>
          </cell>
          <cell r="W397">
            <v>85</v>
          </cell>
          <cell r="X397">
            <v>0.01</v>
          </cell>
          <cell r="Y397">
            <v>9945</v>
          </cell>
          <cell r="AC397">
            <v>9945</v>
          </cell>
          <cell r="AJ397">
            <v>8500</v>
          </cell>
        </row>
        <row r="398">
          <cell r="B398">
            <v>7055</v>
          </cell>
          <cell r="C398" t="str">
            <v>NCR-Rahul</v>
          </cell>
          <cell r="D398" t="str">
            <v>Assets Shifting</v>
          </cell>
          <cell r="E398" t="str">
            <v>S1BJ003303154</v>
          </cell>
          <cell r="F398">
            <v>45936</v>
          </cell>
          <cell r="G398" t="str">
            <v>SSS/2025-26/0111</v>
          </cell>
          <cell r="H398" t="str">
            <v>Str8 &amp; Secure Services</v>
          </cell>
          <cell r="I398" t="str">
            <v>AQIPG2144B</v>
          </cell>
          <cell r="J398" t="str">
            <v>07AQIPG2144B1ZF</v>
          </cell>
          <cell r="K398" t="str">
            <v>No 39, Selvaganapathy Nagar,Eswari villa, Poonamalle,Thiruvallur</v>
          </cell>
          <cell r="L398" t="str">
            <v>Tamil Nadu</v>
          </cell>
          <cell r="M398" t="str">
            <v>State Bank of India,.NO:5A North Phase, SIDCO Industrial Estate. Ambattur, Chennai 600050</v>
          </cell>
          <cell r="N398" t="str">
            <v>Tamil Nadu</v>
          </cell>
          <cell r="O398" t="str">
            <v>Assets Shifting</v>
          </cell>
          <cell r="P398">
            <v>8500</v>
          </cell>
          <cell r="Q398">
            <v>0</v>
          </cell>
          <cell r="R398">
            <v>0</v>
          </cell>
          <cell r="S398">
            <v>0</v>
          </cell>
          <cell r="T398">
            <v>1530</v>
          </cell>
          <cell r="U398">
            <v>0</v>
          </cell>
          <cell r="V398">
            <v>10030</v>
          </cell>
          <cell r="W398">
            <v>85</v>
          </cell>
          <cell r="X398">
            <v>0.01</v>
          </cell>
          <cell r="Y398">
            <v>9945</v>
          </cell>
          <cell r="AC398">
            <v>9945</v>
          </cell>
          <cell r="AJ398">
            <v>8500</v>
          </cell>
        </row>
        <row r="399">
          <cell r="B399">
            <v>7056</v>
          </cell>
          <cell r="C399" t="str">
            <v>NCR-Rahul</v>
          </cell>
          <cell r="D399" t="str">
            <v>Assets Shifting</v>
          </cell>
          <cell r="E399" t="str">
            <v>BHNZ003303286</v>
          </cell>
          <cell r="F399">
            <v>45936</v>
          </cell>
          <cell r="G399" t="str">
            <v>SSS/2025-26/0111</v>
          </cell>
          <cell r="H399" t="str">
            <v>Str8 &amp; Secure Services</v>
          </cell>
          <cell r="I399" t="str">
            <v>AQIPG2144B</v>
          </cell>
          <cell r="J399" t="str">
            <v>07AQIPG2144B1ZF</v>
          </cell>
          <cell r="K399" t="str">
            <v>AMRITHAM COMPLEX MANAVALANAGAR,MANAVALANAGAR ,  MANALI,Thiruvallur</v>
          </cell>
          <cell r="L399" t="str">
            <v>Tamil Nadu</v>
          </cell>
          <cell r="M399" t="str">
            <v>State Bank of India,.NO:5A North Phase, SIDCO Industrial Estate. Ambattur, Chennai 600050</v>
          </cell>
          <cell r="N399" t="str">
            <v>Tamil Nadu</v>
          </cell>
          <cell r="O399" t="str">
            <v>Assets Shifting</v>
          </cell>
          <cell r="P399">
            <v>8500</v>
          </cell>
          <cell r="Q399">
            <v>0</v>
          </cell>
          <cell r="R399">
            <v>0</v>
          </cell>
          <cell r="S399">
            <v>0</v>
          </cell>
          <cell r="T399">
            <v>1530</v>
          </cell>
          <cell r="U399">
            <v>0</v>
          </cell>
          <cell r="V399">
            <v>10030</v>
          </cell>
          <cell r="W399">
            <v>85</v>
          </cell>
          <cell r="X399">
            <v>0.01</v>
          </cell>
          <cell r="Y399">
            <v>9945</v>
          </cell>
          <cell r="AC399">
            <v>9945</v>
          </cell>
          <cell r="AJ399">
            <v>8500</v>
          </cell>
        </row>
        <row r="400">
          <cell r="B400">
            <v>7057</v>
          </cell>
          <cell r="C400" t="str">
            <v>NCR-Rahul</v>
          </cell>
          <cell r="D400" t="str">
            <v>Assets Shifting</v>
          </cell>
          <cell r="E400" t="str">
            <v>BHNZ003303300</v>
          </cell>
          <cell r="F400">
            <v>45936</v>
          </cell>
          <cell r="G400" t="str">
            <v>SSS/2025-26/0111</v>
          </cell>
          <cell r="H400" t="str">
            <v>Str8 &amp; Secure Services</v>
          </cell>
          <cell r="I400" t="str">
            <v>AQIPG2144B</v>
          </cell>
          <cell r="J400" t="str">
            <v>07AQIPG2144B1ZF</v>
          </cell>
          <cell r="K400" t="str">
            <v>ENNORE HIGH ROAD,SUNDARAM PILLAI NAGAR,Chennai</v>
          </cell>
          <cell r="L400" t="str">
            <v>Tamil Nadu</v>
          </cell>
          <cell r="M400" t="str">
            <v>State Bank of India,.NO:5A North Phase, SIDCO Industrial Estate. Ambattur, Chennai 600050</v>
          </cell>
          <cell r="N400" t="str">
            <v>Tamil Nadu</v>
          </cell>
          <cell r="O400" t="str">
            <v>Assets Shifting</v>
          </cell>
          <cell r="P400">
            <v>8500</v>
          </cell>
          <cell r="Q400">
            <v>0</v>
          </cell>
          <cell r="R400">
            <v>0</v>
          </cell>
          <cell r="S400">
            <v>0</v>
          </cell>
          <cell r="T400">
            <v>1530</v>
          </cell>
          <cell r="U400">
            <v>0</v>
          </cell>
          <cell r="V400">
            <v>10030</v>
          </cell>
          <cell r="W400">
            <v>85</v>
          </cell>
          <cell r="X400">
            <v>0.01</v>
          </cell>
          <cell r="Y400">
            <v>9945</v>
          </cell>
          <cell r="AC400">
            <v>9945</v>
          </cell>
          <cell r="AJ400">
            <v>8500</v>
          </cell>
        </row>
        <row r="401">
          <cell r="B401">
            <v>7058</v>
          </cell>
          <cell r="C401" t="str">
            <v>NCR-Rahul</v>
          </cell>
          <cell r="D401" t="str">
            <v>Assets Shifting</v>
          </cell>
          <cell r="E401" t="str">
            <v>S1BW000937013</v>
          </cell>
          <cell r="F401">
            <v>45936</v>
          </cell>
          <cell r="G401" t="str">
            <v>SSS/2025-26/0110</v>
          </cell>
          <cell r="H401" t="str">
            <v>Str8 &amp; Secure Services</v>
          </cell>
          <cell r="I401" t="str">
            <v>AQIPG2144B</v>
          </cell>
          <cell r="J401" t="str">
            <v>07AQIPG2144B1ZF</v>
          </cell>
          <cell r="K401" t="str">
            <v>Veeraraghavaswamy Temple,Veeraraghavaswamy temple,Thiruvallur</v>
          </cell>
          <cell r="L401" t="str">
            <v>Tamil Nadu</v>
          </cell>
          <cell r="M401" t="str">
            <v>State Bank of India,.NO:5A North Phase, SIDCO Industrial Estate. Ambattur, Chennai 600050</v>
          </cell>
          <cell r="N401" t="str">
            <v>Tamil Nadu</v>
          </cell>
          <cell r="O401" t="str">
            <v>Assets Shifting</v>
          </cell>
          <cell r="P401">
            <v>2000</v>
          </cell>
          <cell r="Q401">
            <v>0</v>
          </cell>
          <cell r="R401">
            <v>0</v>
          </cell>
          <cell r="S401">
            <v>0</v>
          </cell>
          <cell r="T401">
            <v>360</v>
          </cell>
          <cell r="U401">
            <v>0</v>
          </cell>
          <cell r="V401">
            <v>2360</v>
          </cell>
          <cell r="W401">
            <v>20</v>
          </cell>
          <cell r="X401">
            <v>0.01</v>
          </cell>
          <cell r="Y401">
            <v>2340</v>
          </cell>
          <cell r="AC401">
            <v>2340</v>
          </cell>
          <cell r="AJ401">
            <v>2000</v>
          </cell>
        </row>
        <row r="402">
          <cell r="B402">
            <v>7059</v>
          </cell>
          <cell r="C402" t="str">
            <v>NCR-Rahul</v>
          </cell>
          <cell r="D402" t="str">
            <v>Assets Shifting</v>
          </cell>
          <cell r="E402" t="str">
            <v>BHNZ003303284</v>
          </cell>
          <cell r="F402">
            <v>45936</v>
          </cell>
          <cell r="G402" t="str">
            <v>SSS/2025-26/0111</v>
          </cell>
          <cell r="H402" t="str">
            <v>Str8 &amp; Secure Services</v>
          </cell>
          <cell r="I402" t="str">
            <v>AQIPG2144B</v>
          </cell>
          <cell r="J402" t="str">
            <v>07AQIPG2144B1ZF</v>
          </cell>
          <cell r="K402" t="str">
            <v>200 FT INNER RING ROAD,MATHUR, THIRUVALLUR,Thiruvallur</v>
          </cell>
          <cell r="L402" t="str">
            <v>Tamil Nadu</v>
          </cell>
          <cell r="M402" t="str">
            <v>State Bank of India,.NO:5A North Phase, SIDCO Industrial Estate. Ambattur, Chennai 600050</v>
          </cell>
          <cell r="N402" t="str">
            <v>Tamil Nadu</v>
          </cell>
          <cell r="O402" t="str">
            <v>Assets Shifting</v>
          </cell>
          <cell r="P402">
            <v>8500</v>
          </cell>
          <cell r="Q402">
            <v>0</v>
          </cell>
          <cell r="R402">
            <v>0</v>
          </cell>
          <cell r="S402">
            <v>0</v>
          </cell>
          <cell r="T402">
            <v>1530</v>
          </cell>
          <cell r="U402">
            <v>0</v>
          </cell>
          <cell r="V402">
            <v>10030</v>
          </cell>
          <cell r="W402">
            <v>85</v>
          </cell>
          <cell r="X402">
            <v>0.01</v>
          </cell>
          <cell r="Y402">
            <v>9945</v>
          </cell>
          <cell r="AC402">
            <v>9945</v>
          </cell>
          <cell r="AJ402">
            <v>8500</v>
          </cell>
        </row>
        <row r="403">
          <cell r="B403">
            <v>7060</v>
          </cell>
          <cell r="C403" t="str">
            <v>NCR-Rahul</v>
          </cell>
          <cell r="D403" t="str">
            <v>Assets Shifting</v>
          </cell>
          <cell r="E403" t="str">
            <v>BHNZ003303296</v>
          </cell>
          <cell r="F403">
            <v>45936</v>
          </cell>
          <cell r="G403" t="str">
            <v>SSS/2025-26/0111</v>
          </cell>
          <cell r="H403" t="str">
            <v>Str8 &amp; Secure Services</v>
          </cell>
          <cell r="I403" t="str">
            <v>AQIPG2144B</v>
          </cell>
          <cell r="J403" t="str">
            <v>07AQIPG2144B1ZF</v>
          </cell>
          <cell r="K403" t="str">
            <v>POOMPOZHI NAGAR,KOVILPATHAGAI,Thiruvallur</v>
          </cell>
          <cell r="L403" t="str">
            <v>Tamil Nadu</v>
          </cell>
          <cell r="M403" t="str">
            <v>State Bank of India,.NO:5A North Phase, SIDCO Industrial Estate. Ambattur, Chennai 600050</v>
          </cell>
          <cell r="N403" t="str">
            <v>Tamil Nadu</v>
          </cell>
          <cell r="O403" t="str">
            <v>Assets Shifting</v>
          </cell>
          <cell r="P403">
            <v>8500</v>
          </cell>
          <cell r="Q403">
            <v>0</v>
          </cell>
          <cell r="R403">
            <v>0</v>
          </cell>
          <cell r="S403">
            <v>0</v>
          </cell>
          <cell r="T403">
            <v>1530</v>
          </cell>
          <cell r="U403">
            <v>0</v>
          </cell>
          <cell r="V403">
            <v>10030</v>
          </cell>
          <cell r="W403">
            <v>85</v>
          </cell>
          <cell r="X403">
            <v>0.01</v>
          </cell>
          <cell r="Y403">
            <v>9945</v>
          </cell>
          <cell r="AC403">
            <v>9945</v>
          </cell>
          <cell r="AJ403">
            <v>8500</v>
          </cell>
        </row>
        <row r="404">
          <cell r="B404">
            <v>2233</v>
          </cell>
          <cell r="C404" t="str">
            <v>Hitachi</v>
          </cell>
          <cell r="D404" t="str">
            <v>Assets Shifting</v>
          </cell>
          <cell r="E404" t="str">
            <v>MPB00916</v>
          </cell>
          <cell r="F404">
            <v>45936</v>
          </cell>
          <cell r="G404" t="str">
            <v>SSS/2025-26/0108</v>
          </cell>
          <cell r="H404" t="str">
            <v>Str8 &amp; Secure Services</v>
          </cell>
          <cell r="I404" t="str">
            <v>AQIPG2144B</v>
          </cell>
          <cell r="J404" t="str">
            <v>07AQIPG2144B1ZF</v>
          </cell>
          <cell r="K404" t="str">
            <v>New Raj Mobile, Shop No - 1, Block No - B, GF, Dev Arcade, Dhedhal Chowkdi To Old APMC Market Road, Near Gokul Dairy, Bavla-382220</v>
          </cell>
          <cell r="L404" t="str">
            <v>Gujarat</v>
          </cell>
          <cell r="M404" t="str">
            <v>Kishore Bagai Transport, l-2 Jai Mata Di Compound , 2nd left next to Hetvi Textile, Kalher Bhiwandi, Maharashtra - 421302</v>
          </cell>
          <cell r="N404" t="str">
            <v>Maharashtra</v>
          </cell>
          <cell r="O404" t="str">
            <v>Assets Shifting</v>
          </cell>
          <cell r="P404">
            <v>7000</v>
          </cell>
          <cell r="Q404">
            <v>0</v>
          </cell>
          <cell r="R404">
            <v>0</v>
          </cell>
          <cell r="S404">
            <v>0</v>
          </cell>
          <cell r="T404">
            <v>1260</v>
          </cell>
          <cell r="U404">
            <v>0</v>
          </cell>
          <cell r="V404">
            <v>8260</v>
          </cell>
          <cell r="W404">
            <v>70</v>
          </cell>
          <cell r="X404">
            <v>0.01</v>
          </cell>
          <cell r="Y404">
            <v>8190</v>
          </cell>
          <cell r="AC404">
            <v>8190</v>
          </cell>
          <cell r="AJ404">
            <v>7000</v>
          </cell>
        </row>
        <row r="405">
          <cell r="B405">
            <v>7073</v>
          </cell>
          <cell r="C405" t="str">
            <v>NCR-Rahul</v>
          </cell>
          <cell r="D405" t="str">
            <v>Assets Shifting</v>
          </cell>
          <cell r="E405" t="str">
            <v>S1BB000800157</v>
          </cell>
          <cell r="F405">
            <v>45936</v>
          </cell>
          <cell r="G405" t="str">
            <v>SSS/2025-26/0110</v>
          </cell>
          <cell r="H405" t="str">
            <v>Str8 &amp; Secure Services</v>
          </cell>
          <cell r="I405" t="str">
            <v>AQIPG2144B</v>
          </cell>
          <cell r="J405" t="str">
            <v>07AQIPG2144B1ZF</v>
          </cell>
          <cell r="K405" t="str">
            <v>VV NAGAR, KOLATHUR,KOLATHUR, CHENNAI,Chennai</v>
          </cell>
          <cell r="L405" t="str">
            <v>Tamil Nadu</v>
          </cell>
          <cell r="M405" t="str">
            <v>State Bank of India,.NO:5A North Phase, SIDCO Industrial Estate. Ambattur, Chennai 600050</v>
          </cell>
          <cell r="N405" t="str">
            <v>Tamil Nadu</v>
          </cell>
          <cell r="O405" t="str">
            <v>Assets Shifting</v>
          </cell>
          <cell r="P405">
            <v>2000</v>
          </cell>
          <cell r="Q405">
            <v>0</v>
          </cell>
          <cell r="R405">
            <v>0</v>
          </cell>
          <cell r="S405">
            <v>0</v>
          </cell>
          <cell r="T405">
            <v>360</v>
          </cell>
          <cell r="U405">
            <v>0</v>
          </cell>
          <cell r="V405">
            <v>2360</v>
          </cell>
          <cell r="W405">
            <v>20</v>
          </cell>
          <cell r="X405">
            <v>0.01</v>
          </cell>
          <cell r="Y405">
            <v>2340</v>
          </cell>
          <cell r="AC405">
            <v>2340</v>
          </cell>
          <cell r="AJ405">
            <v>2000</v>
          </cell>
        </row>
        <row r="406">
          <cell r="B406">
            <v>7075</v>
          </cell>
          <cell r="C406" t="str">
            <v>NCR-Rahul</v>
          </cell>
          <cell r="D406" t="str">
            <v>Assets Shifting</v>
          </cell>
          <cell r="E406" t="str">
            <v>S1BB000800159</v>
          </cell>
          <cell r="F406">
            <v>45936</v>
          </cell>
          <cell r="G406" t="str">
            <v>SSS/2025-26/0110</v>
          </cell>
          <cell r="H406" t="str">
            <v>Str8 &amp; Secure Services</v>
          </cell>
          <cell r="I406" t="str">
            <v>AQIPG2144B</v>
          </cell>
          <cell r="J406" t="str">
            <v>07AQIPG2144B1ZF</v>
          </cell>
          <cell r="K406" t="str">
            <v>RAJAJI NAGAR,VILLIVAKKAM, CHENNAI,Thiruvallur</v>
          </cell>
          <cell r="L406" t="str">
            <v>Tamil Nadu</v>
          </cell>
          <cell r="M406" t="str">
            <v>State Bank of India,.NO:5A North Phase, SIDCO Industrial Estate. Ambattur, Chennai 600050</v>
          </cell>
          <cell r="N406" t="str">
            <v>Tamil Nadu</v>
          </cell>
          <cell r="O406" t="str">
            <v>Assets Shifting</v>
          </cell>
          <cell r="P406">
            <v>2000</v>
          </cell>
          <cell r="Q406">
            <v>0</v>
          </cell>
          <cell r="R406">
            <v>0</v>
          </cell>
          <cell r="S406">
            <v>0</v>
          </cell>
          <cell r="T406">
            <v>360</v>
          </cell>
          <cell r="U406">
            <v>0</v>
          </cell>
          <cell r="V406">
            <v>2360</v>
          </cell>
          <cell r="W406">
            <v>20</v>
          </cell>
          <cell r="X406">
            <v>0.01</v>
          </cell>
          <cell r="Y406">
            <v>2340</v>
          </cell>
          <cell r="AC406">
            <v>2340</v>
          </cell>
          <cell r="AJ406">
            <v>2000</v>
          </cell>
        </row>
        <row r="407">
          <cell r="B407">
            <v>7076</v>
          </cell>
          <cell r="C407" t="str">
            <v>NCR-Rahul</v>
          </cell>
          <cell r="D407" t="str">
            <v>Assets Shifting</v>
          </cell>
          <cell r="E407" t="str">
            <v>S1BW000800341</v>
          </cell>
          <cell r="F407">
            <v>45936</v>
          </cell>
          <cell r="G407" t="str">
            <v>SSS/2025-26/0111</v>
          </cell>
          <cell r="H407" t="str">
            <v>Str8 &amp; Secure Services</v>
          </cell>
          <cell r="I407" t="str">
            <v>AQIPG2144B</v>
          </cell>
          <cell r="J407" t="str">
            <v>07AQIPG2144B1ZF</v>
          </cell>
          <cell r="K407" t="str">
            <v>GKM COLONY, JAMBULINGAM ST,KOLATHUR, CHENNAI 82,Chennai</v>
          </cell>
          <cell r="L407" t="str">
            <v>Tamil Nadu</v>
          </cell>
          <cell r="M407" t="str">
            <v>State Bank of India,.NO:5A North Phase, SIDCO Industrial Estate. Ambattur, Chennai 600050</v>
          </cell>
          <cell r="N407" t="str">
            <v>Tamil Nadu</v>
          </cell>
          <cell r="O407" t="str">
            <v>Assets Shifting</v>
          </cell>
          <cell r="P407">
            <v>8500</v>
          </cell>
          <cell r="Q407">
            <v>0</v>
          </cell>
          <cell r="R407">
            <v>0</v>
          </cell>
          <cell r="S407">
            <v>0</v>
          </cell>
          <cell r="T407">
            <v>1530</v>
          </cell>
          <cell r="U407">
            <v>0</v>
          </cell>
          <cell r="V407">
            <v>10030</v>
          </cell>
          <cell r="W407">
            <v>85</v>
          </cell>
          <cell r="X407">
            <v>0.01</v>
          </cell>
          <cell r="Y407">
            <v>9945</v>
          </cell>
          <cell r="AC407">
            <v>9945</v>
          </cell>
          <cell r="AJ407">
            <v>8500</v>
          </cell>
        </row>
        <row r="408">
          <cell r="B408">
            <v>7072</v>
          </cell>
          <cell r="C408" t="str">
            <v>NCR-Rahul</v>
          </cell>
          <cell r="D408" t="str">
            <v>Assets Shifting</v>
          </cell>
          <cell r="E408" t="str">
            <v>BHNZ000951064</v>
          </cell>
          <cell r="F408">
            <v>45936</v>
          </cell>
          <cell r="G408" t="str">
            <v>SSS/2025-26/0111</v>
          </cell>
          <cell r="H408" t="str">
            <v>Str8 &amp; Secure Services</v>
          </cell>
          <cell r="I408" t="str">
            <v>AQIPG2144B</v>
          </cell>
          <cell r="J408" t="str">
            <v>07AQIPG2144B1ZF</v>
          </cell>
          <cell r="K408" t="str">
            <v>VTM LIMITED, SULAKKARAI,VIRUDHUNAGAR,Virudhunagar</v>
          </cell>
          <cell r="L408" t="str">
            <v>Tamil Nadu</v>
          </cell>
          <cell r="M408" t="str">
            <v>SBI, RBO, 306, Beach road, Tuticorin - 628001</v>
          </cell>
          <cell r="N408" t="str">
            <v>Tamil Nadu</v>
          </cell>
          <cell r="O408" t="str">
            <v>Assets Shifting</v>
          </cell>
          <cell r="P408">
            <v>8500</v>
          </cell>
          <cell r="Q408">
            <v>0</v>
          </cell>
          <cell r="R408">
            <v>0</v>
          </cell>
          <cell r="S408">
            <v>0</v>
          </cell>
          <cell r="T408">
            <v>1530</v>
          </cell>
          <cell r="U408">
            <v>0</v>
          </cell>
          <cell r="V408">
            <v>10030</v>
          </cell>
          <cell r="W408">
            <v>85</v>
          </cell>
          <cell r="X408">
            <v>0.01</v>
          </cell>
          <cell r="Y408">
            <v>9945</v>
          </cell>
          <cell r="AC408">
            <v>9945</v>
          </cell>
          <cell r="AJ408">
            <v>8500</v>
          </cell>
        </row>
        <row r="409">
          <cell r="B409">
            <v>2245</v>
          </cell>
          <cell r="C409" t="str">
            <v>Hitachi</v>
          </cell>
          <cell r="D409" t="str">
            <v>Assets Shifting</v>
          </cell>
          <cell r="E409" t="str">
            <v>MPZ08211</v>
          </cell>
          <cell r="F409">
            <v>45936</v>
          </cell>
          <cell r="G409" t="str">
            <v>SSS/2025-26/0106</v>
          </cell>
          <cell r="H409" t="str">
            <v>Str8 &amp; Secure Services</v>
          </cell>
          <cell r="I409" t="str">
            <v>AQIPG2144B</v>
          </cell>
          <cell r="J409" t="str">
            <v>07AQIPG2144B1ZF</v>
          </cell>
          <cell r="K409" t="str">
            <v>HP Petrol Pump,Near ESI Hospital, Sector-03,Dist-Gurugram, Haryana - 122051</v>
          </cell>
          <cell r="L409" t="str">
            <v>Haryana</v>
          </cell>
          <cell r="M409" t="str">
            <v>Plot no 123, Sector 56 Phase IV, Industrial estate, kundli sonipat, sonipat, Haryana, 131028</v>
          </cell>
          <cell r="N409" t="str">
            <v>Haryana</v>
          </cell>
          <cell r="O409" t="str">
            <v>Assets Shifting</v>
          </cell>
          <cell r="P409">
            <v>5000</v>
          </cell>
          <cell r="Q409">
            <v>0</v>
          </cell>
          <cell r="R409">
            <v>0</v>
          </cell>
          <cell r="S409">
            <v>0</v>
          </cell>
          <cell r="T409">
            <v>900</v>
          </cell>
          <cell r="U409">
            <v>0</v>
          </cell>
          <cell r="V409">
            <v>5900</v>
          </cell>
          <cell r="W409">
            <v>50</v>
          </cell>
          <cell r="X409">
            <v>0.01</v>
          </cell>
          <cell r="Y409">
            <v>5850</v>
          </cell>
          <cell r="AC409">
            <v>5850</v>
          </cell>
          <cell r="AJ409">
            <v>5000</v>
          </cell>
        </row>
        <row r="410">
          <cell r="B410">
            <v>7079</v>
          </cell>
          <cell r="C410" t="str">
            <v>NCR-Rahul</v>
          </cell>
          <cell r="D410" t="str">
            <v>Assets Shifting</v>
          </cell>
          <cell r="E410" t="str">
            <v>S1NB001020048</v>
          </cell>
          <cell r="F410">
            <v>45936</v>
          </cell>
          <cell r="G410" t="str">
            <v>SSS/2025-26/0111</v>
          </cell>
          <cell r="H410" t="str">
            <v>Str8 &amp; Secure Services</v>
          </cell>
          <cell r="I410" t="str">
            <v>AQIPG2144B</v>
          </cell>
          <cell r="J410" t="str">
            <v>07AQIPG2144B1ZF</v>
          </cell>
          <cell r="K410" t="str">
            <v>8/1 WHANNELS ROAD,EGMORE, CHENNAI,Chennai</v>
          </cell>
          <cell r="L410" t="str">
            <v>Tamil Nadu</v>
          </cell>
          <cell r="M410" t="str">
            <v>State Bank of India,.NO:5A North Phase, SIDCO Industrial Estate. Ambattur, Chennai 600050</v>
          </cell>
          <cell r="N410" t="str">
            <v>Tamil Nadu</v>
          </cell>
          <cell r="O410" t="str">
            <v>Assets Shifting</v>
          </cell>
          <cell r="P410">
            <v>8500</v>
          </cell>
          <cell r="Q410">
            <v>0</v>
          </cell>
          <cell r="R410">
            <v>0</v>
          </cell>
          <cell r="S410">
            <v>0</v>
          </cell>
          <cell r="T410">
            <v>1530</v>
          </cell>
          <cell r="U410">
            <v>0</v>
          </cell>
          <cell r="V410">
            <v>10030</v>
          </cell>
          <cell r="W410">
            <v>85</v>
          </cell>
          <cell r="X410">
            <v>0.01</v>
          </cell>
          <cell r="Y410">
            <v>9945</v>
          </cell>
          <cell r="AC410">
            <v>9945</v>
          </cell>
          <cell r="AJ410">
            <v>8500</v>
          </cell>
        </row>
        <row r="411">
          <cell r="B411">
            <v>7077</v>
          </cell>
          <cell r="C411" t="str">
            <v>NCR-Rahul</v>
          </cell>
          <cell r="D411" t="str">
            <v>Assets Shifting</v>
          </cell>
          <cell r="E411" t="str">
            <v>S1NW001243130</v>
          </cell>
          <cell r="F411">
            <v>45936</v>
          </cell>
          <cell r="G411" t="str">
            <v>SSS/2025-26/0111</v>
          </cell>
          <cell r="H411" t="str">
            <v>Str8 &amp; Secure Services</v>
          </cell>
          <cell r="I411" t="str">
            <v>AQIPG2144B</v>
          </cell>
          <cell r="J411" t="str">
            <v>07AQIPG2144B1ZF</v>
          </cell>
          <cell r="K411" t="str">
            <v>242 GANDHI ROAD, NEW STATE BANK COLONY,TAMBARAM, CHENGALPATTU,Kancheepuram</v>
          </cell>
          <cell r="L411" t="str">
            <v>Tamil Nadu</v>
          </cell>
          <cell r="M411" t="str">
            <v>SBI TAMBARAM BRANCH NO 58 - A V N COMPLEX KAMARAJAR SALAI, West Tambaram, CHENNAI, Tamil Nadu 600045.</v>
          </cell>
          <cell r="N411" t="str">
            <v>Tamil Nadu</v>
          </cell>
          <cell r="O411" t="str">
            <v>Assets Shifting</v>
          </cell>
          <cell r="P411">
            <v>8500</v>
          </cell>
          <cell r="Q411">
            <v>0</v>
          </cell>
          <cell r="R411">
            <v>0</v>
          </cell>
          <cell r="S411">
            <v>0</v>
          </cell>
          <cell r="T411">
            <v>1530</v>
          </cell>
          <cell r="U411">
            <v>0</v>
          </cell>
          <cell r="V411">
            <v>10030</v>
          </cell>
          <cell r="W411">
            <v>85</v>
          </cell>
          <cell r="X411">
            <v>0.01</v>
          </cell>
          <cell r="Y411">
            <v>9945</v>
          </cell>
          <cell r="AC411">
            <v>9945</v>
          </cell>
          <cell r="AJ411">
            <v>8500</v>
          </cell>
        </row>
        <row r="412">
          <cell r="B412">
            <v>7078</v>
          </cell>
          <cell r="C412" t="str">
            <v>NCR-Rahul</v>
          </cell>
          <cell r="D412" t="str">
            <v>Assets Shifting</v>
          </cell>
          <cell r="E412" t="str">
            <v>S1BJ001243120</v>
          </cell>
          <cell r="F412">
            <v>45936</v>
          </cell>
          <cell r="G412" t="str">
            <v>SSS/2025-26/0111</v>
          </cell>
          <cell r="H412" t="str">
            <v>Str8 &amp; Secure Services</v>
          </cell>
          <cell r="I412" t="str">
            <v>AQIPG2144B</v>
          </cell>
          <cell r="J412" t="str">
            <v>07AQIPG2144B1ZF</v>
          </cell>
          <cell r="K412" t="str">
            <v>TVS GREEN HILLS ROAD,NEW PERUNGALATHUR,Kancheepuram</v>
          </cell>
          <cell r="L412" t="str">
            <v>Tamil Nadu</v>
          </cell>
          <cell r="M412" t="str">
            <v>SBI TAMBARAM BRANCH NO 58 - A V N COMPLEX KAMARAJAR SALAI, West Tambaram, CHENNAI, Tamil Nadu 600045.</v>
          </cell>
          <cell r="N412" t="str">
            <v>Tamil Nadu</v>
          </cell>
          <cell r="O412" t="str">
            <v>Assets Shifting</v>
          </cell>
          <cell r="P412">
            <v>8500</v>
          </cell>
          <cell r="Q412">
            <v>0</v>
          </cell>
          <cell r="R412">
            <v>0</v>
          </cell>
          <cell r="S412">
            <v>0</v>
          </cell>
          <cell r="T412">
            <v>1530</v>
          </cell>
          <cell r="U412">
            <v>0</v>
          </cell>
          <cell r="V412">
            <v>10030</v>
          </cell>
          <cell r="W412">
            <v>85</v>
          </cell>
          <cell r="X412">
            <v>0.01</v>
          </cell>
          <cell r="Y412">
            <v>9945</v>
          </cell>
          <cell r="AC412">
            <v>9945</v>
          </cell>
          <cell r="AJ412">
            <v>8500</v>
          </cell>
        </row>
        <row r="413">
          <cell r="B413">
            <v>2248</v>
          </cell>
          <cell r="C413" t="str">
            <v>NCR-Umesh</v>
          </cell>
          <cell r="D413" t="str">
            <v>Assets Shifting</v>
          </cell>
          <cell r="E413" t="str">
            <v>MPZ13701</v>
          </cell>
          <cell r="F413">
            <v>45936</v>
          </cell>
          <cell r="G413" t="str">
            <v>SSS/2025-26/0112</v>
          </cell>
          <cell r="H413" t="str">
            <v>Str8 &amp; Secure Services</v>
          </cell>
          <cell r="I413" t="str">
            <v>AQIPG2144B</v>
          </cell>
          <cell r="J413" t="str">
            <v>07AQIPG2144B1ZF</v>
          </cell>
          <cell r="K413" t="str">
            <v>Ahmedabad warehouse</v>
          </cell>
          <cell r="L413" t="str">
            <v>Gujarat</v>
          </cell>
          <cell r="M413" t="str">
            <v>HADOD CHAVDI CHOKDI,AHMEDABAD HIGHWAY ,HADOD</v>
          </cell>
          <cell r="N413" t="str">
            <v>Gujarat</v>
          </cell>
          <cell r="O413" t="str">
            <v>Assets Shifting</v>
          </cell>
          <cell r="P413">
            <v>5000</v>
          </cell>
          <cell r="Q413">
            <v>0</v>
          </cell>
          <cell r="R413">
            <v>0</v>
          </cell>
          <cell r="S413">
            <v>0</v>
          </cell>
          <cell r="T413">
            <v>900</v>
          </cell>
          <cell r="U413">
            <v>0</v>
          </cell>
          <cell r="V413">
            <v>5900</v>
          </cell>
          <cell r="W413">
            <v>50</v>
          </cell>
          <cell r="X413">
            <v>0.01</v>
          </cell>
          <cell r="Y413">
            <v>5850</v>
          </cell>
          <cell r="AC413">
            <v>5850</v>
          </cell>
          <cell r="AJ413">
            <v>5000</v>
          </cell>
        </row>
        <row r="414">
          <cell r="B414">
            <v>2267</v>
          </cell>
          <cell r="C414" t="str">
            <v>Hitachi</v>
          </cell>
          <cell r="D414" t="str">
            <v>Assets Shifting</v>
          </cell>
          <cell r="E414" t="str">
            <v>MPZ15563</v>
          </cell>
          <cell r="F414">
            <v>45936</v>
          </cell>
          <cell r="G414" t="str">
            <v>SSS/2025-26/0108</v>
          </cell>
          <cell r="H414" t="str">
            <v>Str8 &amp; Secure Services</v>
          </cell>
          <cell r="I414" t="str">
            <v>AQIPG2144B</v>
          </cell>
          <cell r="J414" t="str">
            <v>07AQIPG2144B1ZF</v>
          </cell>
          <cell r="K414" t="str">
            <v>1, Shiv Shakti Complex Opp Ramji Mandir, Khatraj Char Rasta, Khatraj Gam, Taluka- Kalol, Distt. Gandhinagar, Gujrat Pincode 382721.</v>
          </cell>
          <cell r="L414" t="str">
            <v>Gujarat</v>
          </cell>
          <cell r="M414" t="str">
            <v>Plot no 123, Sector 56 Phase IV, Industrial estate, kundli sonipat, sonipat, Haryana, 131028</v>
          </cell>
          <cell r="N414" t="str">
            <v>Haryana</v>
          </cell>
          <cell r="O414" t="str">
            <v>Assets Shifting</v>
          </cell>
          <cell r="P414">
            <v>21000</v>
          </cell>
          <cell r="Q414">
            <v>0</v>
          </cell>
          <cell r="R414">
            <v>0</v>
          </cell>
          <cell r="S414">
            <v>0</v>
          </cell>
          <cell r="T414">
            <v>3780</v>
          </cell>
          <cell r="U414">
            <v>0</v>
          </cell>
          <cell r="V414">
            <v>24780</v>
          </cell>
          <cell r="W414">
            <v>210</v>
          </cell>
          <cell r="X414">
            <v>0.01</v>
          </cell>
          <cell r="Y414">
            <v>24570</v>
          </cell>
          <cell r="AC414">
            <v>24570</v>
          </cell>
          <cell r="AJ414">
            <v>21000</v>
          </cell>
        </row>
        <row r="415">
          <cell r="B415">
            <v>2268</v>
          </cell>
          <cell r="C415" t="str">
            <v>Hitachi</v>
          </cell>
          <cell r="D415" t="str">
            <v>Assets Shifting</v>
          </cell>
          <cell r="E415" t="str">
            <v xml:space="preserve">MPB00070 </v>
          </cell>
          <cell r="F415">
            <v>45936</v>
          </cell>
          <cell r="G415" t="str">
            <v>SSS/2025-26/0108</v>
          </cell>
          <cell r="H415" t="str">
            <v>Str8 &amp; Secure Services</v>
          </cell>
          <cell r="I415" t="str">
            <v>AQIPG2144B</v>
          </cell>
          <cell r="J415" t="str">
            <v>07AQIPG2144B1ZF</v>
          </cell>
          <cell r="K415" t="str">
            <v>26 Bhargav Tenament Near Adarsh School Saijpur Bogha Ahmedabad Gujarat 382340</v>
          </cell>
          <cell r="L415" t="str">
            <v>Gujarat</v>
          </cell>
          <cell r="M415" t="str">
            <v>Plot no 123, Sector 56 Phase IV, Industrial estate, kundli sonipat, sonipat, Haryana, 131028</v>
          </cell>
          <cell r="N415" t="str">
            <v>Haryana</v>
          </cell>
          <cell r="O415" t="str">
            <v>Assets Shifting</v>
          </cell>
          <cell r="P415">
            <v>21000</v>
          </cell>
          <cell r="Q415">
            <v>0</v>
          </cell>
          <cell r="R415">
            <v>0</v>
          </cell>
          <cell r="S415">
            <v>0</v>
          </cell>
          <cell r="T415">
            <v>3780</v>
          </cell>
          <cell r="U415">
            <v>0</v>
          </cell>
          <cell r="V415">
            <v>24780</v>
          </cell>
          <cell r="W415">
            <v>210</v>
          </cell>
          <cell r="X415">
            <v>0.01</v>
          </cell>
          <cell r="Y415">
            <v>24570</v>
          </cell>
          <cell r="AC415">
            <v>24570</v>
          </cell>
          <cell r="AJ415">
            <v>21000</v>
          </cell>
        </row>
        <row r="416">
          <cell r="B416">
            <v>2259</v>
          </cell>
          <cell r="C416" t="str">
            <v>NCR-Hari</v>
          </cell>
          <cell r="D416" t="str">
            <v>Assets Shifting</v>
          </cell>
          <cell r="E416" t="str">
            <v>6BKOTRAJ01</v>
          </cell>
          <cell r="F416">
            <v>45936</v>
          </cell>
          <cell r="G416" t="str">
            <v>SSS/2025-26/0109</v>
          </cell>
          <cell r="H416" t="str">
            <v>Str8 &amp; Secure Services</v>
          </cell>
          <cell r="I416" t="str">
            <v>AQIPG2144B</v>
          </cell>
          <cell r="J416" t="str">
            <v>07AQIPG2144B1ZF</v>
          </cell>
          <cell r="K416" t="str">
            <v>KOTRAJ Jhalwar Road KOTA RAJASTHAN-324001</v>
          </cell>
          <cell r="L416" t="str">
            <v>Rajasthan</v>
          </cell>
          <cell r="M416" t="str">
            <v>KOTRAJ Jhalwar Road KOTA RAJASTHAN-324001 ( Inside the Branch )</v>
          </cell>
          <cell r="N416" t="str">
            <v>Rajasthan</v>
          </cell>
          <cell r="O416" t="str">
            <v>Assets Shifting</v>
          </cell>
          <cell r="P416">
            <v>3500</v>
          </cell>
          <cell r="Q416">
            <v>0</v>
          </cell>
          <cell r="R416">
            <v>0</v>
          </cell>
          <cell r="S416">
            <v>0</v>
          </cell>
          <cell r="T416">
            <v>630</v>
          </cell>
          <cell r="U416">
            <v>0</v>
          </cell>
          <cell r="V416">
            <v>4130</v>
          </cell>
          <cell r="W416">
            <v>35</v>
          </cell>
          <cell r="X416">
            <v>0.01</v>
          </cell>
          <cell r="Y416">
            <v>4095</v>
          </cell>
          <cell r="AC416">
            <v>4095</v>
          </cell>
          <cell r="AJ416">
            <v>3500</v>
          </cell>
        </row>
        <row r="417">
          <cell r="B417">
            <v>2260</v>
          </cell>
          <cell r="C417" t="str">
            <v>NCR-Hari</v>
          </cell>
          <cell r="D417" t="str">
            <v>Assets Shifting</v>
          </cell>
          <cell r="E417" t="str">
            <v>6BKOTRAJ02</v>
          </cell>
          <cell r="F417">
            <v>45936</v>
          </cell>
          <cell r="G417" t="str">
            <v>SSS/2025-26/0109</v>
          </cell>
          <cell r="H417" t="str">
            <v>Str8 &amp; Secure Services</v>
          </cell>
          <cell r="I417" t="str">
            <v>AQIPG2144B</v>
          </cell>
          <cell r="J417" t="str">
            <v>07AQIPG2144B1ZF</v>
          </cell>
          <cell r="K417" t="str">
            <v>KOTRAJ Jhalwar Road KOTA RAJASTHAN-324001</v>
          </cell>
          <cell r="L417" t="str">
            <v>Rajasthan</v>
          </cell>
          <cell r="M417" t="str">
            <v>KOTRAJ Jhalwar Road KOTA RAJASTHAN-324001 ( Inside the Branch )</v>
          </cell>
          <cell r="N417" t="str">
            <v>Rajasthan</v>
          </cell>
          <cell r="O417" t="str">
            <v>Assets Shifting</v>
          </cell>
          <cell r="P417">
            <v>3500</v>
          </cell>
          <cell r="Q417">
            <v>0</v>
          </cell>
          <cell r="R417">
            <v>0</v>
          </cell>
          <cell r="S417">
            <v>0</v>
          </cell>
          <cell r="T417">
            <v>630</v>
          </cell>
          <cell r="U417">
            <v>0</v>
          </cell>
          <cell r="V417">
            <v>4130</v>
          </cell>
          <cell r="W417">
            <v>35</v>
          </cell>
          <cell r="X417">
            <v>0.01</v>
          </cell>
          <cell r="Y417">
            <v>4095</v>
          </cell>
          <cell r="AC417">
            <v>4095</v>
          </cell>
          <cell r="AJ417">
            <v>3500</v>
          </cell>
        </row>
        <row r="418">
          <cell r="B418">
            <v>7086</v>
          </cell>
          <cell r="C418" t="str">
            <v>NCR-Rahul</v>
          </cell>
          <cell r="D418" t="str">
            <v>Assets Shifting</v>
          </cell>
          <cell r="E418" t="str">
            <v>S1BW001243035</v>
          </cell>
          <cell r="F418">
            <v>45936</v>
          </cell>
          <cell r="G418" t="str">
            <v>SSS/2025-26/0111</v>
          </cell>
          <cell r="H418" t="str">
            <v>Str8 &amp; Secure Services</v>
          </cell>
          <cell r="I418" t="str">
            <v>AQIPG2144B</v>
          </cell>
          <cell r="J418" t="str">
            <v>07AQIPG2144B1ZF</v>
          </cell>
          <cell r="K418" t="str">
            <v>SECURITY BLOCK AGARAM THEN,AGARAM THEN, CHENGALPATTU,Kancheepuram</v>
          </cell>
          <cell r="L418" t="str">
            <v>Tamil Nadu</v>
          </cell>
          <cell r="M418" t="str">
            <v>SBI ATM NSG - Kolapakkam, Vandalur Kelambakkam Road,Chennai-600127 (Opp. To Police Academy)</v>
          </cell>
          <cell r="N418" t="str">
            <v>Tamil Nadu</v>
          </cell>
          <cell r="O418" t="str">
            <v>Assets Shifting</v>
          </cell>
          <cell r="P418">
            <v>8500</v>
          </cell>
          <cell r="Q418">
            <v>0</v>
          </cell>
          <cell r="R418">
            <v>0</v>
          </cell>
          <cell r="S418">
            <v>0</v>
          </cell>
          <cell r="T418">
            <v>1530</v>
          </cell>
          <cell r="U418">
            <v>0</v>
          </cell>
          <cell r="V418">
            <v>10030</v>
          </cell>
          <cell r="W418">
            <v>85</v>
          </cell>
          <cell r="X418">
            <v>0.01</v>
          </cell>
          <cell r="Y418">
            <v>9945</v>
          </cell>
          <cell r="AC418">
            <v>9945</v>
          </cell>
          <cell r="AJ418">
            <v>8500</v>
          </cell>
        </row>
        <row r="419">
          <cell r="B419">
            <v>7088</v>
          </cell>
          <cell r="C419" t="str">
            <v>NCR-Rahul</v>
          </cell>
          <cell r="D419" t="str">
            <v>Assets Shifting</v>
          </cell>
          <cell r="E419" t="str">
            <v>BHNZ018226106</v>
          </cell>
          <cell r="F419">
            <v>45936</v>
          </cell>
          <cell r="G419" t="str">
            <v>SSS/2025-26/0111</v>
          </cell>
          <cell r="H419" t="str">
            <v>Str8 &amp; Secure Services</v>
          </cell>
          <cell r="I419" t="str">
            <v>AQIPG2144B</v>
          </cell>
          <cell r="J419" t="str">
            <v>07AQIPG2144B1ZF</v>
          </cell>
          <cell r="K419" t="str">
            <v>EB ROAD, GANDHI MARKET, TRICHY,GANDHI MARKET, TRICHY,Tiruchirappalli</v>
          </cell>
          <cell r="L419" t="str">
            <v>Tamil Nadu</v>
          </cell>
          <cell r="M419" t="str">
            <v>SBI Tiruchirapalli Branch, P.B No.21, 7 State Bank Road, Cantonment, Tiruchirappalli- 620001</v>
          </cell>
          <cell r="N419" t="str">
            <v>Tamil Nadu</v>
          </cell>
          <cell r="O419" t="str">
            <v>Assets Shifting</v>
          </cell>
          <cell r="P419">
            <v>8500</v>
          </cell>
          <cell r="Q419">
            <v>0</v>
          </cell>
          <cell r="R419">
            <v>0</v>
          </cell>
          <cell r="S419">
            <v>0</v>
          </cell>
          <cell r="T419">
            <v>1530</v>
          </cell>
          <cell r="U419">
            <v>0</v>
          </cell>
          <cell r="V419">
            <v>10030</v>
          </cell>
          <cell r="W419">
            <v>85</v>
          </cell>
          <cell r="X419">
            <v>0.01</v>
          </cell>
          <cell r="Y419">
            <v>9945</v>
          </cell>
          <cell r="AC419">
            <v>9945</v>
          </cell>
          <cell r="AJ419">
            <v>8500</v>
          </cell>
        </row>
        <row r="420">
          <cell r="B420">
            <v>7089</v>
          </cell>
          <cell r="C420" t="str">
            <v>NCR-Rahul</v>
          </cell>
          <cell r="D420" t="str">
            <v>Assets Shifting</v>
          </cell>
          <cell r="E420" t="str">
            <v>S1BB001020181</v>
          </cell>
          <cell r="F420">
            <v>45936</v>
          </cell>
          <cell r="G420" t="str">
            <v>SSS/2025-26/0111</v>
          </cell>
          <cell r="H420" t="str">
            <v>Str8 &amp; Secure Services</v>
          </cell>
          <cell r="I420" t="str">
            <v>AQIPG2144B</v>
          </cell>
          <cell r="J420" t="str">
            <v>07AQIPG2144B1ZF</v>
          </cell>
          <cell r="K420" t="str">
            <v>ESIC MEDICAL COLLEGE AND HOSPITAL,KK NAGAR, CHENNAI,Chennai</v>
          </cell>
          <cell r="L420" t="str">
            <v>Tamil Nadu</v>
          </cell>
          <cell r="M420" t="str">
            <v>State Bank of India,.NO:5A North Phase, SIDCO Industrial Estate. Ambattur, Chennai 600050</v>
          </cell>
          <cell r="N420" t="str">
            <v>Tamil Nadu</v>
          </cell>
          <cell r="O420" t="str">
            <v>Assets Shifting</v>
          </cell>
          <cell r="P420">
            <v>8500</v>
          </cell>
          <cell r="Q420">
            <v>0</v>
          </cell>
          <cell r="R420">
            <v>0</v>
          </cell>
          <cell r="S420">
            <v>0</v>
          </cell>
          <cell r="T420">
            <v>1530</v>
          </cell>
          <cell r="U420">
            <v>0</v>
          </cell>
          <cell r="V420">
            <v>10030</v>
          </cell>
          <cell r="W420">
            <v>85</v>
          </cell>
          <cell r="X420">
            <v>0.01</v>
          </cell>
          <cell r="Y420">
            <v>9945</v>
          </cell>
          <cell r="AC420">
            <v>9945</v>
          </cell>
          <cell r="AJ420">
            <v>8500</v>
          </cell>
        </row>
        <row r="421">
          <cell r="B421">
            <v>7090</v>
          </cell>
          <cell r="C421" t="str">
            <v>NCR-Rahul</v>
          </cell>
          <cell r="D421" t="str">
            <v>Assets Shifting</v>
          </cell>
          <cell r="E421" t="str">
            <v>BHNZ000913145</v>
          </cell>
          <cell r="F421">
            <v>45936</v>
          </cell>
          <cell r="G421" t="str">
            <v>SSS/2025-26/0111</v>
          </cell>
          <cell r="H421" t="str">
            <v>Str8 &amp; Secure Services</v>
          </cell>
          <cell r="I421" t="str">
            <v>AQIPG2144B</v>
          </cell>
          <cell r="J421" t="str">
            <v>07AQIPG2144B1ZF</v>
          </cell>
          <cell r="K421" t="str">
            <v>BPCL PETROL BUNK,KANNANKURICH ROAD,MANAKAD SALEM,Salem</v>
          </cell>
          <cell r="L421" t="str">
            <v>Tamil Nadu</v>
          </cell>
          <cell r="M421" t="str">
            <v>State Bank Staff Quarters D-Block Four Road Junction Mettur Dam Salem Dt – 636401</v>
          </cell>
          <cell r="N421" t="str">
            <v>Tamil Nadu</v>
          </cell>
          <cell r="O421" t="str">
            <v>Assets Shifting</v>
          </cell>
          <cell r="P421">
            <v>8500</v>
          </cell>
          <cell r="Q421">
            <v>0</v>
          </cell>
          <cell r="R421">
            <v>0</v>
          </cell>
          <cell r="S421">
            <v>0</v>
          </cell>
          <cell r="T421">
            <v>1530</v>
          </cell>
          <cell r="U421">
            <v>0</v>
          </cell>
          <cell r="V421">
            <v>10030</v>
          </cell>
          <cell r="W421">
            <v>85</v>
          </cell>
          <cell r="X421">
            <v>0.01</v>
          </cell>
          <cell r="Y421">
            <v>9945</v>
          </cell>
          <cell r="AC421">
            <v>9945</v>
          </cell>
          <cell r="AJ421">
            <v>8500</v>
          </cell>
        </row>
        <row r="422">
          <cell r="B422">
            <v>2265</v>
          </cell>
          <cell r="C422" t="str">
            <v>NCR-Umesh</v>
          </cell>
          <cell r="D422" t="str">
            <v>Assets Shifting</v>
          </cell>
          <cell r="E422" t="str">
            <v>MPZ15431</v>
          </cell>
          <cell r="F422">
            <v>45936</v>
          </cell>
          <cell r="G422" t="str">
            <v>SSS/2025-26/0113</v>
          </cell>
          <cell r="H422" t="str">
            <v>Str8 &amp; Secure Services</v>
          </cell>
          <cell r="I422" t="str">
            <v>AQIPG2144B</v>
          </cell>
          <cell r="J422" t="str">
            <v>07AQIPG2144B1ZF</v>
          </cell>
          <cell r="K422" t="str">
            <v>DELHI- ROHTAK CORRIDOR,JAKHODA,HARYANA</v>
          </cell>
          <cell r="L422" t="str">
            <v>Haryana</v>
          </cell>
          <cell r="M422" t="str">
            <v>Plot no 123, Sector 56 Phase IV, Industrial estate, kundli sonipat, sonipat, Haryana, 131028</v>
          </cell>
          <cell r="N422" t="str">
            <v>Haryana</v>
          </cell>
          <cell r="O422" t="str">
            <v>Assets Shifting</v>
          </cell>
          <cell r="P422">
            <v>15500</v>
          </cell>
          <cell r="Q422">
            <v>0</v>
          </cell>
          <cell r="R422">
            <v>0</v>
          </cell>
          <cell r="S422">
            <v>0</v>
          </cell>
          <cell r="T422">
            <v>2790</v>
          </cell>
          <cell r="U422">
            <v>0</v>
          </cell>
          <cell r="V422">
            <v>18290</v>
          </cell>
          <cell r="W422">
            <v>155</v>
          </cell>
          <cell r="X422">
            <v>0.01</v>
          </cell>
          <cell r="Y422">
            <v>18135</v>
          </cell>
          <cell r="AC422">
            <v>18135</v>
          </cell>
          <cell r="AJ422">
            <v>15500</v>
          </cell>
        </row>
        <row r="423">
          <cell r="B423">
            <v>2264</v>
          </cell>
          <cell r="C423" t="str">
            <v>NCR-Umesh</v>
          </cell>
          <cell r="D423" t="str">
            <v>Assets Shifting</v>
          </cell>
          <cell r="E423" t="str">
            <v>MPZ15524</v>
          </cell>
          <cell r="F423">
            <v>45936</v>
          </cell>
          <cell r="G423" t="str">
            <v>SSS/2025-26/0113</v>
          </cell>
          <cell r="H423" t="str">
            <v>Str8 &amp; Secure Services</v>
          </cell>
          <cell r="I423" t="str">
            <v>AQIPG2144B</v>
          </cell>
          <cell r="J423" t="str">
            <v>07AQIPG2144B1ZF</v>
          </cell>
          <cell r="K423" t="str">
            <v>Shop no 3,near bus stop NUNA Majra, bahadurgarh, Jhajjar 124507</v>
          </cell>
          <cell r="L423" t="str">
            <v>Haryana</v>
          </cell>
          <cell r="M423" t="str">
            <v>Plot no 123, Sector 56 Phase IV, Industrial estate, kundli sonipat, sonipat, Haryana, 131028</v>
          </cell>
          <cell r="N423" t="str">
            <v>Haryana</v>
          </cell>
          <cell r="O423" t="str">
            <v>Assets Shifting</v>
          </cell>
          <cell r="P423">
            <v>15500</v>
          </cell>
          <cell r="Q423">
            <v>0</v>
          </cell>
          <cell r="R423">
            <v>0</v>
          </cell>
          <cell r="S423">
            <v>0</v>
          </cell>
          <cell r="T423">
            <v>2790</v>
          </cell>
          <cell r="U423">
            <v>0</v>
          </cell>
          <cell r="V423">
            <v>18290</v>
          </cell>
          <cell r="W423">
            <v>155</v>
          </cell>
          <cell r="X423">
            <v>0.01</v>
          </cell>
          <cell r="Y423">
            <v>18135</v>
          </cell>
          <cell r="AC423">
            <v>18135</v>
          </cell>
          <cell r="AJ423">
            <v>15500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C1" t="str">
            <v>Docket number</v>
          </cell>
          <cell r="D1" t="str">
            <v>BANK NAME</v>
          </cell>
          <cell r="E1" t="str">
            <v>FROM PICKUP LOCATION</v>
          </cell>
          <cell r="F1" t="str">
            <v>CITY</v>
          </cell>
          <cell r="G1" t="str">
            <v>TO, DELIVERY LOCATION</v>
          </cell>
          <cell r="H1" t="str">
            <v>CITY</v>
          </cell>
          <cell r="I1" t="str">
            <v>STATE</v>
          </cell>
          <cell r="J1" t="str">
            <v>ACTIVITY</v>
          </cell>
          <cell r="K1" t="str">
            <v>PICKUP COST</v>
          </cell>
          <cell r="L1" t="str">
            <v>PACKING STATUS</v>
          </cell>
          <cell r="M1" t="str">
            <v>D,GROUTING</v>
          </cell>
          <cell r="N1" t="str">
            <v>DISMENTLING</v>
          </cell>
          <cell r="O1" t="str">
            <v>ASSETS SIFTING</v>
          </cell>
          <cell r="P1" t="str">
            <v>ASSETS PACKING</v>
          </cell>
          <cell r="Q1" t="str">
            <v>CREAT PACKING</v>
          </cell>
          <cell r="R1" t="str">
            <v>REMARK ADDITIONAL</v>
          </cell>
          <cell r="S1" t="str">
            <v>ADDITIONAL</v>
          </cell>
          <cell r="T1" t="str">
            <v>Vendor Billing</v>
          </cell>
        </row>
        <row r="2">
          <cell r="C2">
            <v>2083</v>
          </cell>
          <cell r="D2" t="str">
            <v>WLA</v>
          </cell>
          <cell r="E2" t="str">
            <v xml:space="preserve">MIRA ROAD WH </v>
          </cell>
          <cell r="F2" t="str">
            <v>MUMBAI</v>
          </cell>
          <cell r="G2" t="str">
            <v>Priyadarshni sangh zopadpatti samta chawl ghatkopar east ramabai ambedkar nagar mumbai 4000751</v>
          </cell>
          <cell r="H2" t="str">
            <v>MUMBAI</v>
          </cell>
          <cell r="I2" t="str">
            <v>MAHARASTRA</v>
          </cell>
          <cell r="J2" t="str">
            <v>3 BATTERY DELIVERY</v>
          </cell>
          <cell r="O2">
            <v>2000</v>
          </cell>
          <cell r="P2">
            <v>500</v>
          </cell>
          <cell r="T2">
            <v>2500</v>
          </cell>
        </row>
        <row r="3">
          <cell r="C3">
            <v>2061</v>
          </cell>
          <cell r="D3" t="str">
            <v>WLA</v>
          </cell>
          <cell r="E3" t="str">
            <v>Room no. 13. Abdul Nabi sheth chawl.Tilak Nagar,link rd Saki Naka. Andheri Mumbai -400072</v>
          </cell>
          <cell r="F3" t="str">
            <v>Mumbai</v>
          </cell>
          <cell r="G3" t="str">
            <v>Shop No 4A, Malwani Amira Chs Ltd, Mhada FL 1, Malad West, Malwani Bus Depot, Mumbai 400064</v>
          </cell>
          <cell r="H3" t="str">
            <v>MUMBAI</v>
          </cell>
          <cell r="I3" t="str">
            <v>MAHARASTRA</v>
          </cell>
          <cell r="J3" t="str">
            <v>Pickup &amp; Delivery CLOSURE (ATM+Assets)</v>
          </cell>
          <cell r="K3">
            <v>3500</v>
          </cell>
          <cell r="L3">
            <v>1500</v>
          </cell>
          <cell r="M3">
            <v>1300</v>
          </cell>
          <cell r="N3">
            <v>2000</v>
          </cell>
          <cell r="O3">
            <v>2000</v>
          </cell>
          <cell r="P3">
            <v>1000</v>
          </cell>
          <cell r="T3">
            <v>11300</v>
          </cell>
        </row>
        <row r="4">
          <cell r="C4">
            <v>2085</v>
          </cell>
          <cell r="D4" t="str">
            <v>AXIS</v>
          </cell>
          <cell r="E4" t="str">
            <v>H. NO. 5-5-37/1 CHINTAMANI JUBILEE PARK AURNAGABAD</v>
          </cell>
          <cell r="F4" t="str">
            <v>AURANGABAD</v>
          </cell>
          <cell r="G4" t="str">
            <v>Kishore Bagai Transport, l-2 Jai Mata Di Compound , 2nd left next to Hetvi Textile, Kalher Bhiwandi, Maharashtra - 421302</v>
          </cell>
          <cell r="H4" t="str">
            <v>Bhiwandi</v>
          </cell>
          <cell r="I4" t="str">
            <v>MAHARASTRA</v>
          </cell>
          <cell r="J4" t="str">
            <v>CLOSURE(ATM+ASSETS) CREAT PACKING</v>
          </cell>
          <cell r="K4">
            <v>5300</v>
          </cell>
          <cell r="L4">
            <v>1500</v>
          </cell>
          <cell r="M4">
            <v>1300</v>
          </cell>
          <cell r="N4">
            <v>2000</v>
          </cell>
          <cell r="O4">
            <v>2000</v>
          </cell>
          <cell r="P4">
            <v>1000</v>
          </cell>
          <cell r="Q4">
            <v>4000</v>
          </cell>
          <cell r="S4">
            <v>1000</v>
          </cell>
          <cell r="T4">
            <v>18100</v>
          </cell>
        </row>
        <row r="5">
          <cell r="C5">
            <v>2178</v>
          </cell>
          <cell r="D5" t="str">
            <v xml:space="preserve">AXIS BANK </v>
          </cell>
          <cell r="E5" t="str">
            <v>SHOP NO. 2, GROUND FLOOR, SURVEY NO. 11/A/1, PAPILON APARTMENT, KARVENAGAR, PUNE - 411052 MAHARASHTRA</v>
          </cell>
          <cell r="F5" t="str">
            <v>PUNE</v>
          </cell>
          <cell r="G5" t="str">
            <v>Kishore Bagai Transport, L-2 Jai Mata Di Compound , 2Nd Left Next To Hetvi Textile,Kalher Bhiwandi, Maharashtra - 421301</v>
          </cell>
          <cell r="H5" t="str">
            <v>Bhiwandi</v>
          </cell>
          <cell r="I5" t="str">
            <v>MAHARASTRA</v>
          </cell>
          <cell r="J5" t="str">
            <v>CLOSURE ADDITIONAL ATM PICKUP</v>
          </cell>
          <cell r="K5">
            <v>5300</v>
          </cell>
          <cell r="L5">
            <v>1500</v>
          </cell>
          <cell r="M5">
            <v>1300</v>
          </cell>
          <cell r="T5">
            <v>8100</v>
          </cell>
        </row>
        <row r="6">
          <cell r="C6">
            <v>2103</v>
          </cell>
          <cell r="D6" t="str">
            <v>SBI</v>
          </cell>
          <cell r="E6" t="str">
            <v>PUNE WH</v>
          </cell>
          <cell r="F6" t="str">
            <v>PUNE</v>
          </cell>
          <cell r="G6" t="str">
            <v>Shree Kshetra Saptashrungi Gad, Tahsil – Kalvan, District - Nashik</v>
          </cell>
          <cell r="H6" t="str">
            <v>NASHIK</v>
          </cell>
          <cell r="I6" t="str">
            <v>MAHARASTRA</v>
          </cell>
          <cell r="J6" t="str">
            <v>VSAT DELIVERY</v>
          </cell>
          <cell r="O6">
            <v>2500</v>
          </cell>
          <cell r="P6">
            <v>500</v>
          </cell>
          <cell r="T6">
            <v>3000</v>
          </cell>
        </row>
        <row r="7">
          <cell r="C7">
            <v>2093</v>
          </cell>
          <cell r="D7" t="str">
            <v>WLA</v>
          </cell>
          <cell r="E7" t="str">
            <v>H.No 1697 Turbhe Store Vashi Navi Mumbai 400705</v>
          </cell>
          <cell r="F7" t="str">
            <v>Mumbai</v>
          </cell>
          <cell r="G7" t="str">
            <v>Kishore Bagai Transport, l-2 Jai Mata Di Compound , 2nd left next to Hetvi Textile, Kalher Bhiwandi, Maharashtra - 421302</v>
          </cell>
          <cell r="I7" t="str">
            <v>MAHARASTRA</v>
          </cell>
          <cell r="J7" t="str">
            <v>Closure(ATM+Assets)</v>
          </cell>
          <cell r="K7">
            <v>3500</v>
          </cell>
          <cell r="L7">
            <v>1500</v>
          </cell>
          <cell r="M7">
            <v>1300</v>
          </cell>
          <cell r="N7">
            <v>2000</v>
          </cell>
          <cell r="O7">
            <v>2000</v>
          </cell>
          <cell r="P7">
            <v>1000</v>
          </cell>
          <cell r="T7">
            <v>11300</v>
          </cell>
        </row>
        <row r="8">
          <cell r="C8">
            <v>2082</v>
          </cell>
          <cell r="D8" t="str">
            <v>WLA</v>
          </cell>
          <cell r="E8" t="str">
            <v xml:space="preserve">MIRA ROAD WH </v>
          </cell>
          <cell r="F8" t="str">
            <v>MUMBAI</v>
          </cell>
          <cell r="G8" t="str">
            <v>H-NO -241 Shop no 07 Rex Complex, Sukapur Tal- Panvel Raigad 410206</v>
          </cell>
          <cell r="H8" t="str">
            <v>RAIGAD</v>
          </cell>
          <cell r="I8" t="str">
            <v>MAHARASTRA</v>
          </cell>
          <cell r="J8" t="str">
            <v>1 UPS &amp; 3 Battery</v>
          </cell>
          <cell r="O8">
            <v>2000</v>
          </cell>
          <cell r="P8">
            <v>500</v>
          </cell>
          <cell r="T8">
            <v>2500</v>
          </cell>
        </row>
        <row r="9">
          <cell r="C9">
            <v>2091</v>
          </cell>
          <cell r="D9" t="str">
            <v>SBI</v>
          </cell>
          <cell r="E9" t="str">
            <v>LANE NO 4A, HALIMA MANJIL JAVAL, SANJAY PARK AIRPORT ROAD, LOHAGAON PUNE 411032</v>
          </cell>
          <cell r="F9" t="str">
            <v>PUNE</v>
          </cell>
          <cell r="G9" t="str">
            <v>Kishore Bagai Transport, l-2 Jai Mata Di Compound , 2nd left next to Hetvi Textile, Kalher Bhiwandi, Maharashtra - 421302</v>
          </cell>
          <cell r="H9" t="str">
            <v>Bhiwandi</v>
          </cell>
          <cell r="I9" t="str">
            <v>MAHARASTRA</v>
          </cell>
          <cell r="J9" t="str">
            <v>CLOSURE(ATM+ASSETS) CREAT PACKING</v>
          </cell>
          <cell r="K9">
            <v>5300</v>
          </cell>
          <cell r="L9">
            <v>1500</v>
          </cell>
          <cell r="M9">
            <v>1300</v>
          </cell>
          <cell r="N9">
            <v>2000</v>
          </cell>
          <cell r="O9">
            <v>2000</v>
          </cell>
          <cell r="P9">
            <v>1000</v>
          </cell>
          <cell r="Q9">
            <v>4000</v>
          </cell>
          <cell r="T9">
            <v>17100</v>
          </cell>
        </row>
        <row r="10">
          <cell r="C10">
            <v>2091</v>
          </cell>
          <cell r="D10" t="str">
            <v>SBI</v>
          </cell>
          <cell r="E10" t="str">
            <v>Kishore Bagai Transport, l-2 Jai Mata Di Compound , 2nd left next to Hetvi Textile, Kalher Bhiwandi, Maharashtra - 421302</v>
          </cell>
          <cell r="F10" t="str">
            <v>Bhiwandi</v>
          </cell>
          <cell r="G10" t="str">
            <v>Sindhudurg Airport, Chipi (Near Parula) District Sandhudurg Pin 416523 (Maharashtra).</v>
          </cell>
          <cell r="H10" t="str">
            <v>SHIDHUDURG</v>
          </cell>
          <cell r="I10" t="str">
            <v>MAHARASTRA</v>
          </cell>
          <cell r="J10" t="str">
            <v>Delivery(ATM &amp; UPS,battery)</v>
          </cell>
          <cell r="K10">
            <v>5300</v>
          </cell>
          <cell r="O10">
            <v>2000</v>
          </cell>
          <cell r="T10">
            <v>7300</v>
          </cell>
        </row>
        <row r="11">
          <cell r="C11">
            <v>2106</v>
          </cell>
          <cell r="D11" t="str">
            <v>SBI</v>
          </cell>
          <cell r="E11" t="str">
            <v>LANE NO 4A, HALIMA MANJIL JAVAL, SANJAY PARK AIRPORT ROAD, LOHAGAON PUNE 411032</v>
          </cell>
          <cell r="F11" t="str">
            <v>PUNE</v>
          </cell>
          <cell r="G11" t="str">
            <v>Opposite Renuka Buiding, vardman chowk, Ichalkarnji, Kolahpur 416115</v>
          </cell>
          <cell r="H11" t="str">
            <v>Kolhapur</v>
          </cell>
          <cell r="I11" t="str">
            <v>MAHARASTRA</v>
          </cell>
          <cell r="J11" t="str">
            <v>AC DELIVERY WITH CREAT PACKING</v>
          </cell>
          <cell r="O11">
            <v>2000</v>
          </cell>
          <cell r="P11">
            <v>500</v>
          </cell>
          <cell r="Q11">
            <v>3000</v>
          </cell>
          <cell r="T11">
            <v>5500</v>
          </cell>
        </row>
        <row r="12">
          <cell r="C12" t="str">
            <v>2075/2076</v>
          </cell>
          <cell r="D12" t="str">
            <v>WLA</v>
          </cell>
          <cell r="E12" t="str">
            <v xml:space="preserve">MIRA ROAD WH </v>
          </cell>
          <cell r="F12" t="str">
            <v>MUMBAI</v>
          </cell>
          <cell r="G12" t="str">
            <v>Shop 1,Babu business centre,opp vadan industrial easte,vasai 401208</v>
          </cell>
          <cell r="H12" t="str">
            <v>VASAI</v>
          </cell>
          <cell r="I12" t="str">
            <v>MAHARASTRA</v>
          </cell>
          <cell r="J12" t="str">
            <v>6 BATTERY  DELIVERY</v>
          </cell>
          <cell r="O12">
            <v>2000</v>
          </cell>
          <cell r="P12">
            <v>500</v>
          </cell>
          <cell r="T12">
            <v>2500</v>
          </cell>
        </row>
        <row r="13">
          <cell r="C13">
            <v>2089</v>
          </cell>
          <cell r="D13" t="str">
            <v>ICICI</v>
          </cell>
          <cell r="E13" t="str">
            <v>TOYO ENGINEERING INDIA LTD, GROUND FLOOR, TOYO HOUSE, L.B.S.MARG, KNAJURMARG</v>
          </cell>
          <cell r="F13" t="str">
            <v>MUMBAI</v>
          </cell>
          <cell r="G13" t="str">
            <v>KANJURMARG</v>
          </cell>
          <cell r="H13" t="str">
            <v>MUMBAI</v>
          </cell>
          <cell r="I13" t="str">
            <v>MAHARASTRA</v>
          </cell>
          <cell r="J13" t="str">
            <v>ATM SHIFTING</v>
          </cell>
          <cell r="K13">
            <v>3500</v>
          </cell>
          <cell r="T13">
            <v>3500</v>
          </cell>
        </row>
        <row r="14">
          <cell r="C14">
            <v>2090</v>
          </cell>
          <cell r="D14" t="str">
            <v>ICICI</v>
          </cell>
          <cell r="E14" t="str">
            <v>TOYO ENGINEERING INDIA LTD, GROUND FLOOR, TOYO TECHNOLOGY CENTRE, 71, KNAJURMARG VILLAGE ROAD, KNAJURMARG</v>
          </cell>
          <cell r="F14" t="str">
            <v>MUMBAI</v>
          </cell>
          <cell r="G14" t="str">
            <v>KAN KNAJURMARG VILLAGE ROAD, KNAJURMARG</v>
          </cell>
          <cell r="H14" t="str">
            <v>MUMBAI</v>
          </cell>
          <cell r="I14" t="str">
            <v>MAHARASTRA</v>
          </cell>
          <cell r="J14" t="str">
            <v>ATM SHIFTING</v>
          </cell>
          <cell r="K14">
            <v>3500</v>
          </cell>
          <cell r="T14">
            <v>3500</v>
          </cell>
        </row>
        <row r="15">
          <cell r="C15">
            <v>2094</v>
          </cell>
          <cell r="D15" t="str">
            <v>WLA</v>
          </cell>
          <cell r="E15" t="str">
            <v>S. No-220, Audhut Nagar,Near Datt Mandir,Fursungi, Pune 412308</v>
          </cell>
          <cell r="F15" t="str">
            <v>PUNE</v>
          </cell>
          <cell r="G15" t="str">
            <v>Kishore Bagai Transport, l-2 Jai Mata Di Compound , 2nd left next to Hetvi Textile, Kalher Bhiwandi, Maharashtra - 421302</v>
          </cell>
          <cell r="H15" t="str">
            <v>Bhiwandi</v>
          </cell>
          <cell r="I15" t="str">
            <v>MAHARASTRA</v>
          </cell>
          <cell r="J15" t="str">
            <v>Closure(Assets)S-2-WH</v>
          </cell>
          <cell r="K15">
            <v>0</v>
          </cell>
          <cell r="M15">
            <v>1300</v>
          </cell>
          <cell r="N15">
            <v>2000</v>
          </cell>
          <cell r="O15">
            <v>2000</v>
          </cell>
          <cell r="P15">
            <v>1000</v>
          </cell>
          <cell r="T15">
            <v>6300</v>
          </cell>
        </row>
        <row r="16">
          <cell r="C16">
            <v>2095</v>
          </cell>
          <cell r="D16" t="str">
            <v>WLA</v>
          </cell>
          <cell r="E16" t="str">
            <v>S. No-220, Audhut Nagar,Near Datt Mandir,Fursungi, Pune 412308</v>
          </cell>
          <cell r="F16" t="str">
            <v>PUNE</v>
          </cell>
          <cell r="G16" t="str">
            <v>Zakir Hussain Nagar, Govandi East, Mumbai, Maharashtra 400043</v>
          </cell>
          <cell r="H16" t="str">
            <v>MUMBAI</v>
          </cell>
          <cell r="I16" t="str">
            <v>MAHARASTRA</v>
          </cell>
          <cell r="J16" t="str">
            <v>only ATM Delivery--wr2S</v>
          </cell>
          <cell r="K16">
            <v>5300</v>
          </cell>
          <cell r="L16">
            <v>1500</v>
          </cell>
          <cell r="Q16">
            <v>4000</v>
          </cell>
          <cell r="T16">
            <v>10800</v>
          </cell>
        </row>
        <row r="17">
          <cell r="C17">
            <v>2221</v>
          </cell>
          <cell r="D17" t="str">
            <v>ROBBERY</v>
          </cell>
          <cell r="E17" t="str">
            <v>Zakir Hussain Nagar, Govandi East, Mumbai, Maharashtra 400043</v>
          </cell>
          <cell r="F17" t="str">
            <v>MUMBAI</v>
          </cell>
          <cell r="G17" t="str">
            <v>Kishore Bagai Transport, l-2 Jai Mata Di Compound , 2nd left next to Hetvi Textile, Kalher Bhiwandi, Maharashtra - 421302</v>
          </cell>
          <cell r="H17" t="str">
            <v>Bhiwandi</v>
          </cell>
          <cell r="I17" t="str">
            <v>MAHARASTRA</v>
          </cell>
          <cell r="J17" t="str">
            <v>ADDITIONAL ATM PICKUP</v>
          </cell>
          <cell r="K17">
            <v>5300</v>
          </cell>
          <cell r="L17">
            <v>1500</v>
          </cell>
          <cell r="M17">
            <v>1000</v>
          </cell>
          <cell r="T17">
            <v>7800</v>
          </cell>
        </row>
        <row r="18">
          <cell r="C18">
            <v>2105</v>
          </cell>
          <cell r="D18" t="str">
            <v>SBI</v>
          </cell>
          <cell r="E18" t="str">
            <v>STATE-BANK-OF-INDIA,LAXMI-NURSING-COMPLEX,-JALGAON-ROAD,DR.BABASAHEB-AMBEDKAR-CHOWK,-SILLOD,District:-AURANGABAD</v>
          </cell>
          <cell r="F18" t="str">
            <v>AURANGABAD</v>
          </cell>
          <cell r="G18" t="str">
            <v>Shop No-02 Bhagat singh chowk, Nrby Bus Stand Rd, Sillod, Maharashtra 431112</v>
          </cell>
          <cell r="H18" t="str">
            <v>SILOD</v>
          </cell>
          <cell r="I18" t="str">
            <v>MAHARASTRA</v>
          </cell>
          <cell r="J18" t="str">
            <v>ATM &amp; ASSETS (PICKUP &amp; DELIVERY)S2S</v>
          </cell>
          <cell r="K18">
            <v>5300</v>
          </cell>
          <cell r="L18">
            <v>1500</v>
          </cell>
          <cell r="N18">
            <v>2000</v>
          </cell>
          <cell r="O18">
            <v>2000</v>
          </cell>
          <cell r="P18">
            <v>1000</v>
          </cell>
          <cell r="T18">
            <v>11800</v>
          </cell>
        </row>
        <row r="19">
          <cell r="C19">
            <v>2087</v>
          </cell>
          <cell r="D19" t="str">
            <v>WLA</v>
          </cell>
          <cell r="E19" t="str">
            <v xml:space="preserve">MIRA ROAD WH </v>
          </cell>
          <cell r="F19" t="str">
            <v>MUMBAI</v>
          </cell>
          <cell r="G19" t="str">
            <v>HNo-2408/3,Near Ambarela Hotel, Pelhar,Tal-Vasai, Pelhar, 401202</v>
          </cell>
          <cell r="H19" t="str">
            <v>VASAI</v>
          </cell>
          <cell r="I19" t="str">
            <v>MAHARASTRA</v>
          </cell>
          <cell r="J19" t="str">
            <v>3 BATTERY DELIVERY</v>
          </cell>
          <cell r="O19">
            <v>2000</v>
          </cell>
          <cell r="P19">
            <v>500</v>
          </cell>
          <cell r="T19">
            <v>2500</v>
          </cell>
        </row>
        <row r="20">
          <cell r="C20">
            <v>1914</v>
          </cell>
          <cell r="D20" t="str">
            <v>YES BANK</v>
          </cell>
          <cell r="E20" t="str">
            <v>THE ST. REGIS MUMBAI, 462 SENAPATI BAPAT MARG, LOWER PAREL, MUMBAI 400013 (Offsite)</v>
          </cell>
          <cell r="F20" t="str">
            <v>MUMBAI</v>
          </cell>
          <cell r="G20" t="str">
            <v xml:space="preserve">DISMENTAL SCRAP </v>
          </cell>
          <cell r="H20" t="str">
            <v>MUMBAI</v>
          </cell>
          <cell r="I20" t="str">
            <v>MAHARASTRA</v>
          </cell>
          <cell r="J20" t="str">
            <v xml:space="preserve">KIOSK PICKUP </v>
          </cell>
          <cell r="K20">
            <v>3500</v>
          </cell>
          <cell r="T20">
            <v>3500</v>
          </cell>
        </row>
        <row r="21">
          <cell r="C21">
            <v>2088</v>
          </cell>
          <cell r="D21" t="str">
            <v>ICICI</v>
          </cell>
          <cell r="E21" t="str">
            <v>ICICI BANK LTD, GROUND FLOOR, PLOT NO7, SATPUR MIDC AREA, TRIMBAK ROAD, SATPUR, NASIK</v>
          </cell>
          <cell r="F21" t="str">
            <v>NASIK</v>
          </cell>
          <cell r="G21" t="str">
            <v>Kishore Bagai Transport, l-2 Jai Mata Di Compound , 2nd left next to Hetvi Textile, Kalher Bhiwandi, Maharashtra - 421302</v>
          </cell>
          <cell r="H21" t="str">
            <v>BHIWANDI</v>
          </cell>
          <cell r="I21" t="str">
            <v>MAHARASTRA</v>
          </cell>
          <cell r="J21" t="str">
            <v>ATM PICKUP</v>
          </cell>
          <cell r="K21">
            <v>5300</v>
          </cell>
          <cell r="L21">
            <v>1500</v>
          </cell>
          <cell r="T21">
            <v>6800</v>
          </cell>
        </row>
        <row r="22">
          <cell r="C22">
            <v>2046</v>
          </cell>
          <cell r="D22" t="str">
            <v>WLA</v>
          </cell>
          <cell r="E22" t="str">
            <v>Gala No AA/11 Plot No 129 Avashti Estate Walbhet Road Opp Vivek Industrial Estate Goregaon East Mumbai 400063</v>
          </cell>
          <cell r="F22" t="str">
            <v>MUMBAI</v>
          </cell>
          <cell r="G22" t="str">
            <v>Kishore Bagai Transport, l-2 Jai Mata Di Compound , 2nd left next to Hetvi Textile, Kalher Bhiwandi, Maharashtra - 421302</v>
          </cell>
          <cell r="H22" t="str">
            <v>BHIWANDI</v>
          </cell>
          <cell r="I22" t="str">
            <v>MAHARASTRA</v>
          </cell>
          <cell r="J22" t="str">
            <v>ATM PICKUP</v>
          </cell>
          <cell r="K22">
            <v>3500</v>
          </cell>
          <cell r="L22">
            <v>1500</v>
          </cell>
          <cell r="M22">
            <v>1000</v>
          </cell>
          <cell r="T22">
            <v>6000</v>
          </cell>
        </row>
        <row r="23">
          <cell r="C23">
            <v>2115</v>
          </cell>
          <cell r="D23" t="str">
            <v>WLA</v>
          </cell>
          <cell r="E23" t="str">
            <v xml:space="preserve">MIRA ROAD WH </v>
          </cell>
          <cell r="F23" t="str">
            <v>MUMBAI</v>
          </cell>
          <cell r="G23" t="str">
            <v>Zakir Hussain Nagar, Govandi East, Mumbai, Maharashtra 400043</v>
          </cell>
          <cell r="H23" t="str">
            <v>MUMBAI</v>
          </cell>
          <cell r="I23" t="str">
            <v>MAHARASTRA</v>
          </cell>
          <cell r="J23" t="str">
            <v>1 IT &amp; 3 BATTERY,1 SERVO</v>
          </cell>
          <cell r="O23">
            <v>2000</v>
          </cell>
          <cell r="P23">
            <v>1000</v>
          </cell>
          <cell r="T23">
            <v>3000</v>
          </cell>
        </row>
        <row r="24">
          <cell r="C24">
            <v>2111</v>
          </cell>
          <cell r="D24" t="str">
            <v>WLA</v>
          </cell>
          <cell r="E24" t="str">
            <v>Shop No.1,Bhujbal complex, Beside bhagyalaxmi mangal karyalay pune-nashik road,Tal- khed Chakan Pune , Pin code - 410501</v>
          </cell>
          <cell r="F24" t="str">
            <v>PUNE</v>
          </cell>
          <cell r="G24" t="str">
            <v>Kishore Bagai Transport, l-2 Jai Mata Di Compound , 2nd left next to Hetvi Textile, Kalher Bhiwandi, Maharashtra - 421302</v>
          </cell>
          <cell r="H24" t="str">
            <v>Bhiwandi</v>
          </cell>
          <cell r="I24" t="str">
            <v>MAHARASTRA</v>
          </cell>
          <cell r="J24" t="str">
            <v>CLOSURE(ATM+ASSETS) CREAT PACKING</v>
          </cell>
          <cell r="K24">
            <v>5300</v>
          </cell>
          <cell r="L24">
            <v>1500</v>
          </cell>
          <cell r="M24">
            <v>1300</v>
          </cell>
          <cell r="N24">
            <v>2000</v>
          </cell>
          <cell r="O24">
            <v>2000</v>
          </cell>
          <cell r="P24">
            <v>1000</v>
          </cell>
          <cell r="Q24">
            <v>4000</v>
          </cell>
          <cell r="T24">
            <v>17100</v>
          </cell>
        </row>
        <row r="25">
          <cell r="C25">
            <v>2119</v>
          </cell>
          <cell r="D25" t="str">
            <v>ICICI</v>
          </cell>
          <cell r="E25" t="str">
            <v>ICICI Bank Atm shop No. 2,H Wing, Vishnu Prasad Bldg, P P Marg, Opp. Bus Depot,Virar W Mumbai 401303</v>
          </cell>
          <cell r="F25" t="str">
            <v>MUMBAI</v>
          </cell>
          <cell r="G25" t="str">
            <v>Kishore Bagai Transport, l-2 Jai Mata Di Compound , 2nd left next to Hetvi Textile, Kalher Bhiwandi, Maharashtra - 421302</v>
          </cell>
          <cell r="H25" t="str">
            <v>Bhiwandi</v>
          </cell>
          <cell r="I25" t="str">
            <v>MAHARASTRA</v>
          </cell>
          <cell r="J25" t="str">
            <v>Closure(ATM+Assets)</v>
          </cell>
          <cell r="K25">
            <v>3500</v>
          </cell>
          <cell r="L25">
            <v>1500</v>
          </cell>
          <cell r="M25">
            <v>1300</v>
          </cell>
          <cell r="N25">
            <v>2000</v>
          </cell>
          <cell r="O25">
            <v>2000</v>
          </cell>
          <cell r="P25">
            <v>1000</v>
          </cell>
          <cell r="T25">
            <v>11300</v>
          </cell>
        </row>
        <row r="26">
          <cell r="C26">
            <v>2125</v>
          </cell>
          <cell r="D26" t="str">
            <v>INDUSIND</v>
          </cell>
          <cell r="E26" t="str">
            <v>Ground Floor, “D.B. House”, Yashodham, Gen A.K. Vaidya Marg, Dindoshi,Goregaon East, Mumbai 400063, Maharashtra</v>
          </cell>
          <cell r="F26" t="str">
            <v>MUMBAI</v>
          </cell>
          <cell r="G26" t="str">
            <v>Ground Floor, “Coral Square”, Vijay Garden Naka, Opp. Suraj Waterpark, Ghodbunder Road, Thane W – 400 607</v>
          </cell>
          <cell r="H26" t="str">
            <v>MUMBAI</v>
          </cell>
          <cell r="I26" t="str">
            <v>MAHARASTRA</v>
          </cell>
          <cell r="J26" t="str">
            <v>ATM PICKUP+ DELIVERY</v>
          </cell>
          <cell r="K26">
            <v>3500</v>
          </cell>
          <cell r="L26">
            <v>1500</v>
          </cell>
          <cell r="M26">
            <v>1000</v>
          </cell>
          <cell r="P26">
            <v>4000</v>
          </cell>
          <cell r="S26">
            <v>1200</v>
          </cell>
          <cell r="T26">
            <v>11200</v>
          </cell>
        </row>
        <row r="27">
          <cell r="C27">
            <v>2122</v>
          </cell>
          <cell r="D27" t="str">
            <v>ICICI</v>
          </cell>
          <cell r="E27" t="str">
            <v>ICICI Bank ATM, shop no 1, pokale wasti near vidhayniketan school Bakulnagar, Ramya Nagari, Bibwewadi</v>
          </cell>
          <cell r="F27" t="str">
            <v>Pune</v>
          </cell>
          <cell r="G27" t="str">
            <v>Kishore Bagai Transport, l-2 Jai Mata Di Compound , 2nd left next to Hetvi Textile, Kalher Bhiwandi, Maharashtra - 421302</v>
          </cell>
          <cell r="H27" t="str">
            <v>Bhiwandi</v>
          </cell>
          <cell r="I27" t="str">
            <v>MAHARASTRA</v>
          </cell>
          <cell r="J27" t="str">
            <v>Closure(ATM+Assets)</v>
          </cell>
          <cell r="K27">
            <v>5300</v>
          </cell>
          <cell r="L27">
            <v>1500</v>
          </cell>
          <cell r="M27">
            <v>1300</v>
          </cell>
          <cell r="N27">
            <v>2000</v>
          </cell>
          <cell r="O27">
            <v>2000</v>
          </cell>
          <cell r="P27">
            <v>1000</v>
          </cell>
          <cell r="T27">
            <v>13100</v>
          </cell>
        </row>
        <row r="28">
          <cell r="C28">
            <v>2149</v>
          </cell>
          <cell r="D28" t="str">
            <v>ICICI</v>
          </cell>
          <cell r="E28" t="str">
            <v>ICICI Bank ATM, shop no 1, pokale wasti near vidhayniketan school Bakulnagar, Ramya Nagari, Bibwewadi</v>
          </cell>
          <cell r="F28" t="str">
            <v>Pune</v>
          </cell>
          <cell r="G28" t="str">
            <v>Kishore Bagai Transport, l-2 Jai Mata Di Compound , 2nd left next to Hetvi Textile, Kalher Bhiwandi, Maharashtra - 421302</v>
          </cell>
          <cell r="H28" t="str">
            <v>Bhiwandi</v>
          </cell>
          <cell r="I28" t="str">
            <v>MAHARASTRA</v>
          </cell>
          <cell r="J28" t="str">
            <v>ADDITIONAL ATM PICKUP</v>
          </cell>
          <cell r="K28">
            <v>5300</v>
          </cell>
          <cell r="L28">
            <v>1500</v>
          </cell>
          <cell r="M28">
            <v>1000</v>
          </cell>
          <cell r="T28">
            <v>7800</v>
          </cell>
        </row>
        <row r="29">
          <cell r="C29">
            <v>2121</v>
          </cell>
          <cell r="D29" t="str">
            <v>ICICI</v>
          </cell>
          <cell r="E29" t="str">
            <v>ICICI Bank ATM, Shop No.05, Sai Chaya Bldg, Nandivali Village,DOmbivli (E) 421201</v>
          </cell>
          <cell r="F29" t="str">
            <v>Thane</v>
          </cell>
          <cell r="G29" t="str">
            <v>Kishore Bagai Transport, l-2 Jai Mata Di Compound , 2nd left next to Hetvi Textile, Kalher Bhiwandi, Maharashtra - 421302</v>
          </cell>
          <cell r="H29" t="str">
            <v>Bhiwandi</v>
          </cell>
          <cell r="I29" t="str">
            <v>MAHARASTRA</v>
          </cell>
          <cell r="J29" t="str">
            <v>Closure(ATM+Assets)</v>
          </cell>
          <cell r="K29">
            <v>3500</v>
          </cell>
          <cell r="L29">
            <v>1500</v>
          </cell>
          <cell r="M29">
            <v>1300</v>
          </cell>
          <cell r="N29">
            <v>2000</v>
          </cell>
          <cell r="O29">
            <v>2000</v>
          </cell>
          <cell r="P29">
            <v>1000</v>
          </cell>
          <cell r="T29">
            <v>11300</v>
          </cell>
        </row>
        <row r="30">
          <cell r="C30">
            <v>2120</v>
          </cell>
          <cell r="D30" t="str">
            <v>ICICI</v>
          </cell>
          <cell r="E30" t="str">
            <v>ICICI Bank ATM, Parrera Apartment, Shop No : 6, Gamdevi Road, Near Poisar Subway, Kandivali (W)</v>
          </cell>
          <cell r="F30" t="str">
            <v>GREATER MUMBAI</v>
          </cell>
          <cell r="G30" t="str">
            <v>Kishore Bagai Transport, l-2 Jai Mata Di Compound , 2nd left next to Hetvi Textile, Kalher Bhiwandi, Maharashtra - 421302</v>
          </cell>
          <cell r="H30" t="str">
            <v>Bhiwandi</v>
          </cell>
          <cell r="I30" t="str">
            <v>MAHARASTRA</v>
          </cell>
          <cell r="J30" t="str">
            <v>Closure(ATM+Assets)</v>
          </cell>
          <cell r="K30">
            <v>3500</v>
          </cell>
          <cell r="L30">
            <v>1500</v>
          </cell>
          <cell r="M30">
            <v>1300</v>
          </cell>
          <cell r="N30">
            <v>2000</v>
          </cell>
          <cell r="O30">
            <v>2000</v>
          </cell>
          <cell r="P30">
            <v>1000</v>
          </cell>
          <cell r="T30">
            <v>11300</v>
          </cell>
        </row>
        <row r="31">
          <cell r="C31">
            <v>2142</v>
          </cell>
          <cell r="D31" t="str">
            <v>ICICI</v>
          </cell>
          <cell r="E31" t="str">
            <v>ICICI Bank ATM, Parrera Apartment, Shop No : 6, Gamdevi Road, Near Poisar Subway, Kandivali (W)</v>
          </cell>
          <cell r="F31" t="str">
            <v>GREATER MUMBAI</v>
          </cell>
          <cell r="G31" t="str">
            <v>Kishore Bagai Transport, l-2 Jai Mata Di Compound , 2nd left next to Hetvi Textile, Kalher Bhiwandi, Maharashtra - 421302</v>
          </cell>
          <cell r="H31" t="str">
            <v>Bhiwandi</v>
          </cell>
          <cell r="I31" t="str">
            <v>MAHARASTRA</v>
          </cell>
          <cell r="J31" t="str">
            <v>ADDITIONAL ATM PICKUP</v>
          </cell>
          <cell r="K31">
            <v>3500</v>
          </cell>
          <cell r="L31">
            <v>1500</v>
          </cell>
          <cell r="M31">
            <v>1000</v>
          </cell>
          <cell r="T31">
            <v>6000</v>
          </cell>
        </row>
        <row r="32">
          <cell r="C32">
            <v>2118</v>
          </cell>
          <cell r="D32" t="str">
            <v>ICICI</v>
          </cell>
          <cell r="E32" t="str">
            <v>ICICI Bank ATM,Shop No 2 Ratana Vallabh Vihar Sec-20 Near Jain Mandir Opp Talao Belapur Gaon Navi Mumbai 400614</v>
          </cell>
          <cell r="F32" t="str">
            <v>Navi Mumbai</v>
          </cell>
          <cell r="G32" t="str">
            <v>Kishore Bagai Transport, l-2 Jai Mata Di Compound , 2nd left next to Hetvi Textile, Kalher Bhiwandi, Maharashtra - 421302</v>
          </cell>
          <cell r="H32" t="str">
            <v>Bhiwandi</v>
          </cell>
          <cell r="I32" t="str">
            <v>MAHARASTRA</v>
          </cell>
          <cell r="J32" t="str">
            <v>Closure(ATM+Assets)</v>
          </cell>
          <cell r="K32">
            <v>3500</v>
          </cell>
          <cell r="L32">
            <v>1500</v>
          </cell>
          <cell r="M32">
            <v>1300</v>
          </cell>
          <cell r="N32">
            <v>2000</v>
          </cell>
          <cell r="O32">
            <v>2000</v>
          </cell>
          <cell r="P32">
            <v>1000</v>
          </cell>
          <cell r="T32">
            <v>11300</v>
          </cell>
        </row>
        <row r="33">
          <cell r="C33">
            <v>2147</v>
          </cell>
          <cell r="D33" t="str">
            <v xml:space="preserve">AXIS BANK </v>
          </cell>
          <cell r="E33" t="str">
            <v>New fashion hair art Sarswati chawal kranti nagar ambedkar chowk Kandivali east mumbai 400101</v>
          </cell>
          <cell r="F33" t="str">
            <v>MUMBAI</v>
          </cell>
          <cell r="G33" t="str">
            <v xml:space="preserve">KANDIVALI </v>
          </cell>
          <cell r="H33" t="str">
            <v>MUMBAI</v>
          </cell>
          <cell r="I33" t="str">
            <v>MAHARASTRA</v>
          </cell>
          <cell r="J33" t="str">
            <v>Premises Shifting</v>
          </cell>
          <cell r="K33">
            <v>1800</v>
          </cell>
          <cell r="M33">
            <v>1000</v>
          </cell>
          <cell r="T33">
            <v>2800</v>
          </cell>
        </row>
        <row r="34">
          <cell r="C34">
            <v>2114</v>
          </cell>
          <cell r="D34" t="str">
            <v>SBI</v>
          </cell>
          <cell r="E34" t="str">
            <v>1400-5 JEJURI SASWAD ROAD RAJWADA CHAUK JEJURI PUNE 412303</v>
          </cell>
          <cell r="F34" t="str">
            <v>Pune</v>
          </cell>
          <cell r="G34" t="str">
            <v>Kishore Bagai Transport, l-2 Jai Mata Di Compound , 2nd left next to Hetvi Textile, Kalher Bhiwandi, Maharashtra - 421302</v>
          </cell>
          <cell r="H34" t="str">
            <v>Bhiwandi</v>
          </cell>
          <cell r="I34" t="str">
            <v>MAHARASTRA</v>
          </cell>
          <cell r="J34" t="str">
            <v>Closure(ATM+Assets)</v>
          </cell>
          <cell r="K34">
            <v>5300</v>
          </cell>
          <cell r="L34">
            <v>1500</v>
          </cell>
          <cell r="M34">
            <v>1300</v>
          </cell>
          <cell r="N34">
            <v>2000</v>
          </cell>
          <cell r="O34">
            <v>2000</v>
          </cell>
          <cell r="P34">
            <v>1000</v>
          </cell>
          <cell r="T34">
            <v>13100</v>
          </cell>
        </row>
        <row r="35">
          <cell r="C35">
            <v>2123</v>
          </cell>
          <cell r="D35" t="str">
            <v>ICICI</v>
          </cell>
          <cell r="E35" t="str">
            <v>ICICI Bank Atm Shop no A-2 Indra Nagar , near shiv Sena office ,DR.C.G. rood Chembur colony Chembur-400074</v>
          </cell>
          <cell r="F35" t="str">
            <v>Greater Mumbai</v>
          </cell>
          <cell r="G35" t="str">
            <v>Kishore Bagai Transport, l-2 Jai Mata Di Compound , 2nd left next to Hetvi Textile, Kalher Bhiwandi, Maharashtra - 421302</v>
          </cell>
          <cell r="H35" t="str">
            <v>BHIWANDI</v>
          </cell>
          <cell r="I35" t="str">
            <v>MAHARASTRA</v>
          </cell>
          <cell r="J35" t="str">
            <v>Closure(ATM+Assets)</v>
          </cell>
          <cell r="K35">
            <v>3500</v>
          </cell>
          <cell r="L35">
            <v>1500</v>
          </cell>
          <cell r="M35">
            <v>1300</v>
          </cell>
          <cell r="N35">
            <v>2000</v>
          </cell>
          <cell r="O35">
            <v>2000</v>
          </cell>
          <cell r="P35">
            <v>1000</v>
          </cell>
          <cell r="T35">
            <v>11300</v>
          </cell>
        </row>
        <row r="36">
          <cell r="C36">
            <v>2144</v>
          </cell>
          <cell r="D36" t="str">
            <v>WLA</v>
          </cell>
          <cell r="E36" t="str">
            <v>Plot no B/39, TTC Industrial Area, Ethan, Digha Node,Yadav Nagar, Next to S R Varghante Cleaners,,Chinchpada, Airoli</v>
          </cell>
          <cell r="F36" t="str">
            <v>Navi Mumbai</v>
          </cell>
          <cell r="G36" t="str">
            <v>Kishore Bagai Transport, l-2 Jai Mata Di Compound , 2nd left next to Hetvi Textile, Kalher Bhiwandi, Maharashtra - 421302</v>
          </cell>
          <cell r="H36" t="str">
            <v>BHIWANDI</v>
          </cell>
          <cell r="I36" t="str">
            <v>MAHARASTRA</v>
          </cell>
          <cell r="J36" t="str">
            <v>Closure(ATM+Assets)</v>
          </cell>
          <cell r="K36">
            <v>3500</v>
          </cell>
          <cell r="L36">
            <v>1500</v>
          </cell>
          <cell r="M36">
            <v>1300</v>
          </cell>
          <cell r="N36">
            <v>2000</v>
          </cell>
          <cell r="O36">
            <v>2000</v>
          </cell>
          <cell r="P36">
            <v>1000</v>
          </cell>
          <cell r="R36">
            <v>3000</v>
          </cell>
          <cell r="S36">
            <v>1200</v>
          </cell>
          <cell r="T36">
            <v>15500</v>
          </cell>
        </row>
        <row r="37">
          <cell r="C37">
            <v>2143</v>
          </cell>
          <cell r="D37" t="str">
            <v>WLA</v>
          </cell>
          <cell r="E37" t="str">
            <v>Plot no B/39, TTC Industrial Area, Ethan, Digha Node,Yadav Nagar, Next to S R Varghante Cleaners,,Chinchpada, Airoli</v>
          </cell>
          <cell r="F37" t="str">
            <v>Navi Mumbai</v>
          </cell>
          <cell r="G37" t="str">
            <v>Kishore Bagai Transport, l-2 Jai Mata Di Compound , 2nd left next to Hetvi Textile, Kalher Bhiwandi, Maharashtra - 421302</v>
          </cell>
          <cell r="H37" t="str">
            <v>BHIWANDI</v>
          </cell>
          <cell r="I37" t="str">
            <v>MAHARASTRA</v>
          </cell>
          <cell r="J37" t="str">
            <v>Closure(ATM+Assets)</v>
          </cell>
          <cell r="K37">
            <v>3500</v>
          </cell>
          <cell r="L37">
            <v>1500</v>
          </cell>
          <cell r="M37">
            <v>1300</v>
          </cell>
          <cell r="N37">
            <v>2000</v>
          </cell>
          <cell r="O37">
            <v>2000</v>
          </cell>
          <cell r="P37">
            <v>1000</v>
          </cell>
          <cell r="R37">
            <v>1200</v>
          </cell>
          <cell r="T37">
            <v>12500</v>
          </cell>
        </row>
        <row r="38">
          <cell r="C38">
            <v>2124</v>
          </cell>
          <cell r="D38" t="str">
            <v>SBI</v>
          </cell>
          <cell r="E38" t="str">
            <v>PUNE WH</v>
          </cell>
          <cell r="F38" t="str">
            <v>PUNE</v>
          </cell>
          <cell r="G38" t="str">
            <v>Shop No-02 Bhagat singh chowk, Nrby Bus Stand Rd, Sillod, Maharashtra 431112</v>
          </cell>
          <cell r="H38" t="str">
            <v>AURANGABAD</v>
          </cell>
          <cell r="I38" t="str">
            <v>MAHARASTRA</v>
          </cell>
          <cell r="J38" t="str">
            <v>2 AC &amp; 4G ROUTER  DELIVERY</v>
          </cell>
          <cell r="O38">
            <v>2500</v>
          </cell>
          <cell r="P38">
            <v>1000</v>
          </cell>
          <cell r="T38">
            <v>3500</v>
          </cell>
        </row>
        <row r="39">
          <cell r="C39">
            <v>2140</v>
          </cell>
          <cell r="D39" t="str">
            <v>WLA</v>
          </cell>
          <cell r="E39" t="str">
            <v>Vasai Road, Vasai Station Near Grp Office West Circulating Area With Area 6 Feet X 6 Feet, Vasai West</v>
          </cell>
          <cell r="F39" t="str">
            <v>VASAI</v>
          </cell>
          <cell r="G39" t="str">
            <v xml:space="preserve">VASAI RAILWAY </v>
          </cell>
          <cell r="H39" t="str">
            <v>PALGHAR</v>
          </cell>
          <cell r="I39" t="str">
            <v>MAHARASTRA</v>
          </cell>
          <cell r="J39" t="str">
            <v>Shifting ATM &amp; ASSETS</v>
          </cell>
          <cell r="K39">
            <v>3500</v>
          </cell>
          <cell r="M39">
            <v>1000</v>
          </cell>
          <cell r="T39">
            <v>4500</v>
          </cell>
        </row>
        <row r="40">
          <cell r="C40">
            <v>2159</v>
          </cell>
          <cell r="D40" t="str">
            <v>WLA</v>
          </cell>
          <cell r="E40" t="str">
            <v>Vasai Road, Vasai Station Near Grp Office West Circulating Area With Area 6 Feet X 6 Feet, Vasai West</v>
          </cell>
          <cell r="F40" t="str">
            <v>VASAI</v>
          </cell>
          <cell r="G40" t="str">
            <v xml:space="preserve">VASAI RAILWAY </v>
          </cell>
          <cell r="H40" t="str">
            <v>PALGHAR</v>
          </cell>
          <cell r="I40" t="str">
            <v>MAHARASTRA</v>
          </cell>
          <cell r="J40" t="str">
            <v>Shifting ATM &amp; ASSETS</v>
          </cell>
          <cell r="K40">
            <v>3500</v>
          </cell>
          <cell r="M40">
            <v>1000</v>
          </cell>
          <cell r="T40">
            <v>4500</v>
          </cell>
        </row>
        <row r="41">
          <cell r="C41">
            <v>2148</v>
          </cell>
          <cell r="D41" t="str">
            <v>WLA</v>
          </cell>
          <cell r="E41" t="str">
            <v>Radiant Cash Management Services Ltd Office No 1,2,3 and 34, Aum Sai CHS, Plot No 23C, Sector 7, Kharghar, Navi Mumbai 410210</v>
          </cell>
          <cell r="F41" t="str">
            <v>NaviMumbai</v>
          </cell>
          <cell r="G41" t="str">
            <v>Kishore Bagai Transport, l-2 Jai Mata Di Compound , 2nd left next to Hetvi Textile, Kalher Bhiwandi, Maharashtra - 421302</v>
          </cell>
          <cell r="H41" t="str">
            <v>BHIWANDI</v>
          </cell>
          <cell r="I41" t="str">
            <v>MAHARASTRA</v>
          </cell>
          <cell r="J41" t="str">
            <v>Closure(ATM+Assets)</v>
          </cell>
          <cell r="K41">
            <v>3500</v>
          </cell>
          <cell r="L41">
            <v>1500</v>
          </cell>
          <cell r="M41">
            <v>1300</v>
          </cell>
          <cell r="N41">
            <v>2000</v>
          </cell>
          <cell r="O41">
            <v>2000</v>
          </cell>
          <cell r="P41">
            <v>1000</v>
          </cell>
          <cell r="R41">
            <v>4800</v>
          </cell>
          <cell r="T41">
            <v>16100</v>
          </cell>
        </row>
        <row r="42">
          <cell r="C42">
            <v>2168</v>
          </cell>
          <cell r="D42" t="str">
            <v>WLA</v>
          </cell>
          <cell r="E42" t="str">
            <v>Radiant Cash Management Services Ltd Office No 1,2,3 and 34, Aum Sai CHS, Plot No 23C, Sector 7, Kharghar, Navi Mumbai 410210</v>
          </cell>
          <cell r="F42" t="str">
            <v>NaviMumbai</v>
          </cell>
          <cell r="G42" t="str">
            <v>Kishore Bagai Transport, l-2 Jai Mata Di Compound , 2nd left next to Hetvi Textile, Kalher Bhiwandi, Maharashtra - 421302</v>
          </cell>
          <cell r="H42" t="str">
            <v>BHIWANDI</v>
          </cell>
          <cell r="I42" t="str">
            <v>MAHARASTRA</v>
          </cell>
          <cell r="J42" t="str">
            <v>Additional ATM Pickup</v>
          </cell>
          <cell r="K42">
            <v>3500</v>
          </cell>
          <cell r="L42">
            <v>1500</v>
          </cell>
          <cell r="S42">
            <v>2400</v>
          </cell>
          <cell r="T42">
            <v>7400</v>
          </cell>
        </row>
        <row r="43">
          <cell r="C43">
            <v>2160</v>
          </cell>
          <cell r="D43" t="str">
            <v>ICICI</v>
          </cell>
          <cell r="E43" t="str">
            <v>ICICI BANK LTD, SHOP NO. 28, PRATIK GARDEN, PLOT NO. 153, 165, SECTOR 34, KAMOTHE, NAVI MUMBAI - 410209</v>
          </cell>
          <cell r="F43" t="str">
            <v>NaviMumbai</v>
          </cell>
          <cell r="G43" t="str">
            <v xml:space="preserve">PANVEL </v>
          </cell>
          <cell r="H43" t="str">
            <v>RAIGAD</v>
          </cell>
          <cell r="I43" t="str">
            <v>MAHARASTRA</v>
          </cell>
          <cell r="J43" t="str">
            <v>Premises Shifting</v>
          </cell>
          <cell r="K43">
            <v>1800</v>
          </cell>
          <cell r="T43">
            <v>1800</v>
          </cell>
        </row>
        <row r="44">
          <cell r="C44">
            <v>2139</v>
          </cell>
          <cell r="D44" t="str">
            <v>INDUSIND</v>
          </cell>
          <cell r="E44" t="str">
            <v xml:space="preserve">MIRA ROAD WH </v>
          </cell>
          <cell r="F44" t="str">
            <v>MUMBAI</v>
          </cell>
          <cell r="G44" t="str">
            <v>Shop No 04 Shree Ganesh Apts Opp National Hosp Diva Agasan Road Near Smg Junior Collage Diva E 400612</v>
          </cell>
          <cell r="H44" t="str">
            <v>THANE</v>
          </cell>
          <cell r="I44" t="str">
            <v>MAHARASTRA</v>
          </cell>
          <cell r="J44" t="str">
            <v>3 BATTERY PICKUP</v>
          </cell>
          <cell r="O44">
            <v>2000</v>
          </cell>
          <cell r="P44">
            <v>1000</v>
          </cell>
          <cell r="T44">
            <v>3000</v>
          </cell>
        </row>
        <row r="45">
          <cell r="C45">
            <v>2157</v>
          </cell>
          <cell r="D45" t="str">
            <v>WLA</v>
          </cell>
          <cell r="E45" t="str">
            <v xml:space="preserve">MIRA ROAD WH </v>
          </cell>
          <cell r="F45" t="str">
            <v>MUMBAI</v>
          </cell>
          <cell r="G45" t="str">
            <v>Shop No. 3. Building No. 92. PMGP New Mhada Colony. Mankhurd</v>
          </cell>
          <cell r="H45" t="str">
            <v>MUMBAI</v>
          </cell>
          <cell r="I45" t="str">
            <v>MAHARASTRA</v>
          </cell>
          <cell r="J45" t="str">
            <v>3 BATTERY DELIVERY</v>
          </cell>
          <cell r="O45">
            <v>2000</v>
          </cell>
          <cell r="P45">
            <v>500</v>
          </cell>
          <cell r="T45">
            <v>2500</v>
          </cell>
        </row>
        <row r="46">
          <cell r="C46">
            <v>2161</v>
          </cell>
          <cell r="D46" t="str">
            <v>INDUSIND</v>
          </cell>
          <cell r="E46" t="str">
            <v>Vadala, VDLR-1, Opp. Booking Office, Central Railway</v>
          </cell>
          <cell r="F46" t="str">
            <v>WADALA</v>
          </cell>
          <cell r="G46" t="str">
            <v xml:space="preserve">DISMENTAL SCRAP </v>
          </cell>
          <cell r="H46" t="str">
            <v>MUMBAI</v>
          </cell>
          <cell r="I46" t="str">
            <v>MAHARASTRA</v>
          </cell>
          <cell r="J46" t="str">
            <v>Kiosk Pickup</v>
          </cell>
          <cell r="K46">
            <v>3500</v>
          </cell>
          <cell r="T46">
            <v>3500</v>
          </cell>
        </row>
        <row r="47">
          <cell r="C47">
            <v>2167</v>
          </cell>
          <cell r="D47" t="str">
            <v>WLA</v>
          </cell>
          <cell r="E47" t="str">
            <v xml:space="preserve">MIRA ROAD WH </v>
          </cell>
          <cell r="F47" t="str">
            <v>MUMBAI</v>
          </cell>
          <cell r="G47" t="str">
            <v>SHOP NO 12 MUNISUVRAT APT NEAR JAIN TEMPLE VASAI PALGHAR VASAI-VIRAR CITY (M CORP) 401209</v>
          </cell>
          <cell r="H47" t="str">
            <v>PALGHAR</v>
          </cell>
          <cell r="I47" t="str">
            <v>MAHARASTRA</v>
          </cell>
          <cell r="J47" t="str">
            <v>1 UPS DELIVERY</v>
          </cell>
          <cell r="O47">
            <v>2000</v>
          </cell>
          <cell r="P47">
            <v>500</v>
          </cell>
          <cell r="T47">
            <v>2500</v>
          </cell>
        </row>
        <row r="48">
          <cell r="C48">
            <v>2171</v>
          </cell>
          <cell r="D48" t="str">
            <v xml:space="preserve">AXIS BANK </v>
          </cell>
          <cell r="E48" t="str">
            <v>BNP PARIBAS INDIA SOLUTIONS PVT. LTD. INFINITY, TRAIL IT PARK, UNIT NO. 601, INFINITY BUILDING NO. 4, OFF FILM CITY ROAD, MALAD, (EAST)</v>
          </cell>
          <cell r="F48" t="str">
            <v>MALAD</v>
          </cell>
          <cell r="G48" t="str">
            <v>Building No. 54a, Zenia, 8th 9th And 10th, Hiranandani Estate Kolshet Thane</v>
          </cell>
          <cell r="H48" t="str">
            <v>THANE</v>
          </cell>
          <cell r="I48" t="str">
            <v>MAHARASTRA</v>
          </cell>
          <cell r="J48" t="str">
            <v>Pickup &amp; Delivery (ATM &amp; Assets)</v>
          </cell>
          <cell r="K48">
            <v>3500</v>
          </cell>
          <cell r="L48">
            <v>1500</v>
          </cell>
          <cell r="N48">
            <v>2000</v>
          </cell>
          <cell r="O48">
            <v>2000</v>
          </cell>
          <cell r="P48">
            <v>1000</v>
          </cell>
          <cell r="R48">
            <v>9000</v>
          </cell>
          <cell r="T48">
            <v>19000</v>
          </cell>
        </row>
        <row r="49">
          <cell r="C49">
            <v>2169</v>
          </cell>
          <cell r="D49" t="str">
            <v>ICICI</v>
          </cell>
          <cell r="E49" t="str">
            <v>ICICI Bank Atm Ghatkopar West Branch, Prince Apt, Gopala &amp; Karana Lane Junction, Ghatkopar(W), Mumbai 400086</v>
          </cell>
          <cell r="F49" t="str">
            <v>Mumbai</v>
          </cell>
          <cell r="G49" t="str">
            <v xml:space="preserve">GHATKOPER ICICI </v>
          </cell>
          <cell r="H49" t="str">
            <v>MUMBAI</v>
          </cell>
          <cell r="I49" t="str">
            <v>MAHARASTRA</v>
          </cell>
          <cell r="J49" t="str">
            <v>Shifting</v>
          </cell>
          <cell r="K49">
            <v>3500</v>
          </cell>
          <cell r="S49">
            <v>1200</v>
          </cell>
          <cell r="T49">
            <v>4700</v>
          </cell>
        </row>
        <row r="50">
          <cell r="C50">
            <v>2170</v>
          </cell>
          <cell r="D50" t="str">
            <v>ICICI</v>
          </cell>
          <cell r="E50" t="str">
            <v>ICICI Bank Atm Ghatkopar West Branch, Prince Apt, Gopala &amp; Karana Lane Junction, Ghatkopar(W), Mumbai 400086</v>
          </cell>
          <cell r="F50" t="str">
            <v>Mumbai</v>
          </cell>
          <cell r="G50" t="str">
            <v xml:space="preserve">GHATKOPER ICICI </v>
          </cell>
          <cell r="H50" t="str">
            <v>MUMBAI</v>
          </cell>
          <cell r="I50" t="str">
            <v>MAHARASTRA</v>
          </cell>
          <cell r="J50" t="str">
            <v>Shifting</v>
          </cell>
          <cell r="K50">
            <v>3500</v>
          </cell>
          <cell r="S50">
            <v>1200</v>
          </cell>
          <cell r="T50">
            <v>4700</v>
          </cell>
        </row>
        <row r="51">
          <cell r="C51">
            <v>2188</v>
          </cell>
          <cell r="D51" t="str">
            <v>ICICI</v>
          </cell>
          <cell r="E51" t="str">
            <v>ICICI BANK ATM,GP. No.-646 , A/P Bazar Bhogaon,Tal.-Panhala Dist.- Kolhapur, 416205</v>
          </cell>
          <cell r="F51" t="str">
            <v>BAJARBHONGAON</v>
          </cell>
          <cell r="G51" t="str">
            <v xml:space="preserve">PUNE WH </v>
          </cell>
          <cell r="H51" t="str">
            <v>PUNE</v>
          </cell>
          <cell r="I51" t="str">
            <v>MAHARASTRA</v>
          </cell>
          <cell r="J51" t="str">
            <v>ATM Pickup &amp; PREMISES SHIFTING</v>
          </cell>
          <cell r="K51">
            <v>5300</v>
          </cell>
          <cell r="L51">
            <v>1500</v>
          </cell>
          <cell r="M51">
            <v>1000</v>
          </cell>
          <cell r="R51">
            <v>1800</v>
          </cell>
          <cell r="S51">
            <v>3000</v>
          </cell>
          <cell r="T51">
            <v>12600</v>
          </cell>
        </row>
        <row r="52">
          <cell r="C52">
            <v>2189</v>
          </cell>
          <cell r="D52" t="str">
            <v>WLA</v>
          </cell>
          <cell r="E52" t="str">
            <v>No 1 Noor Mohd Compound Kalina Shastrinagar Nagar Sntacruz East 400029</v>
          </cell>
          <cell r="F52" t="str">
            <v>Santacruz </v>
          </cell>
          <cell r="G52" t="str">
            <v>Kishore Bagai Transport, l-2 Jai Mata Di Compound , 2nd left next to Hetvi Textile, Kalher Bhiwandi, Maharashtra - 421302</v>
          </cell>
          <cell r="H52" t="str">
            <v>BHIWANDI</v>
          </cell>
          <cell r="I52" t="str">
            <v>MAHARASTRA</v>
          </cell>
          <cell r="J52" t="str">
            <v>Closure(ATM+Assets)</v>
          </cell>
          <cell r="K52">
            <v>3500</v>
          </cell>
          <cell r="L52">
            <v>1500</v>
          </cell>
          <cell r="M52">
            <v>1300</v>
          </cell>
          <cell r="N52">
            <v>2000</v>
          </cell>
          <cell r="O52">
            <v>2000</v>
          </cell>
          <cell r="P52">
            <v>1000</v>
          </cell>
          <cell r="T52">
            <v>11300</v>
          </cell>
        </row>
        <row r="53">
          <cell r="C53">
            <v>2181</v>
          </cell>
          <cell r="D53" t="str">
            <v>WLA</v>
          </cell>
          <cell r="E53" t="str">
            <v>SHOP NO 4 MEENA APTMENT ARJUN WADI GANSOLI GAVE NAVI MUMBAI</v>
          </cell>
          <cell r="F53" t="str">
            <v>NAVI MUMBAI</v>
          </cell>
          <cell r="G53" t="str">
            <v>Shop no 31,Aryan Shopping center, Opposite Nalasopara Railway Station Near Plat Form 4 Main Entrance, Nalasopara East Maharashtra
401209</v>
          </cell>
          <cell r="H53" t="str">
            <v>NALASOPARA</v>
          </cell>
          <cell r="I53" t="str">
            <v>MAHARASTRA</v>
          </cell>
          <cell r="J53" t="str">
            <v>only ATM Pickup &amp; Delivery</v>
          </cell>
          <cell r="K53">
            <v>3500</v>
          </cell>
          <cell r="L53">
            <v>1500</v>
          </cell>
          <cell r="M53">
            <v>1000</v>
          </cell>
          <cell r="S53">
            <v>1200</v>
          </cell>
          <cell r="T53">
            <v>7200</v>
          </cell>
        </row>
        <row r="54">
          <cell r="C54">
            <v>2208</v>
          </cell>
          <cell r="D54" t="str">
            <v>SBI</v>
          </cell>
          <cell r="E54" t="str">
            <v>Gokul-Residency,-Shop-No-26-To-31,-Thakur-Village,-Kandivali-E,-Mumbai,-400101</v>
          </cell>
          <cell r="F54" t="str">
            <v>Mumbai</v>
          </cell>
          <cell r="G54" t="str">
            <v>New SBI Thakur Village Branch Unit No 3 Municipal Retail Market near MMC Parking Thakur Village Kandivali</v>
          </cell>
          <cell r="H54" t="str">
            <v>Mumbai</v>
          </cell>
          <cell r="I54" t="str">
            <v>MAHARASTRA</v>
          </cell>
          <cell r="J54" t="str">
            <v>Closure(ATM+Assets)</v>
          </cell>
          <cell r="K54">
            <v>3500</v>
          </cell>
          <cell r="L54">
            <v>1500</v>
          </cell>
          <cell r="M54">
            <v>1300</v>
          </cell>
          <cell r="N54">
            <v>2000</v>
          </cell>
          <cell r="O54">
            <v>2000</v>
          </cell>
          <cell r="P54">
            <v>1000</v>
          </cell>
          <cell r="T54">
            <v>11300</v>
          </cell>
        </row>
        <row r="55">
          <cell r="C55">
            <v>2166</v>
          </cell>
          <cell r="D55" t="str">
            <v xml:space="preserve">AXIS BANK </v>
          </cell>
          <cell r="E55" t="str">
            <v>SHOP NO 128 PLOT NO 1 GATE NO 7 NEW COLLECTOR COMPOUND MALVANI MALAD WEST, MUMBAI 400095, MAHARASHTRA</v>
          </cell>
          <cell r="F55" t="str">
            <v>Mumbai</v>
          </cell>
          <cell r="G55" t="str">
            <v>Kishore Bagai Transport, l-2 Jai Mata Di Compound , 2nd left next to Hetvi Textile, Kalher Bhiwandi, Maharashtra - 421302</v>
          </cell>
          <cell r="H55" t="str">
            <v>BHIWANDI</v>
          </cell>
          <cell r="I55" t="str">
            <v>MAHARASTRA</v>
          </cell>
          <cell r="J55" t="str">
            <v>Visit Fail 1</v>
          </cell>
          <cell r="S55">
            <v>1500</v>
          </cell>
          <cell r="T55">
            <v>1500</v>
          </cell>
        </row>
        <row r="56">
          <cell r="C56">
            <v>2166</v>
          </cell>
          <cell r="D56" t="str">
            <v xml:space="preserve">AXIS BANK </v>
          </cell>
          <cell r="E56" t="str">
            <v>SHOP NO 128 PLOT NO 1 GATE NO 7 NEW COLLECTOR COMPOUND MALVANI MALAD WEST, MUMBAI 400095, MAHARASHTRA</v>
          </cell>
          <cell r="F56" t="str">
            <v>Mumbai</v>
          </cell>
          <cell r="G56" t="str">
            <v>Kishore Bagai Transport, l-2 Jai Mata Di Compound , 2nd left next to Hetvi Textile, Kalher Bhiwandi, Maharashtra - 421302</v>
          </cell>
          <cell r="H56" t="str">
            <v>BHIWANDI</v>
          </cell>
          <cell r="I56" t="str">
            <v>MAHARASTRA</v>
          </cell>
          <cell r="J56" t="str">
            <v>Visit FAil2</v>
          </cell>
          <cell r="S56">
            <v>1500</v>
          </cell>
          <cell r="T56">
            <v>1500</v>
          </cell>
        </row>
        <row r="57">
          <cell r="C57">
            <v>2185</v>
          </cell>
          <cell r="D57" t="str">
            <v>WLA</v>
          </cell>
          <cell r="E57" t="str">
            <v xml:space="preserve">MIRA ROAD WH </v>
          </cell>
          <cell r="F57" t="str">
            <v>MUMBAI</v>
          </cell>
          <cell r="G57" t="str">
            <v>Radha Krishna Medical,Opposite Sai Baba Temple,Hanuman Nagar M.G Road , Goregaon West 400104</v>
          </cell>
          <cell r="H57" t="str">
            <v>MUMBAI</v>
          </cell>
          <cell r="I57" t="str">
            <v>MAHARASTRA</v>
          </cell>
          <cell r="J57" t="str">
            <v>3 BATTERY DELIVERY</v>
          </cell>
          <cell r="O57">
            <v>2000</v>
          </cell>
          <cell r="P57">
            <v>500</v>
          </cell>
          <cell r="T57">
            <v>2500</v>
          </cell>
        </row>
        <row r="58">
          <cell r="C58">
            <v>2204</v>
          </cell>
          <cell r="D58" t="str">
            <v>USFB</v>
          </cell>
          <cell r="E58" t="str">
            <v>Saki Vihar Branch.No 1 , Grnd Flr, Sun Shrishti 'A, Saki Vihar Rd, near DTDC, Tunga Village, Chandivali, Andheri East, Mumbai, Maharashtra 400072</v>
          </cell>
          <cell r="F58" t="str">
            <v>Mumbai</v>
          </cell>
          <cell r="G58" t="str">
            <v>Andheri Branch. Evergreen Hsg Society, Majas Rd, off Mahakali Caves Road, MMRDA Colony, Poonam Vihar, Poonam Nagar, Andheri E, Mumbai, Maharashtra 400093</v>
          </cell>
          <cell r="H58" t="str">
            <v>MUMBAI</v>
          </cell>
          <cell r="I58" t="str">
            <v>MAHARASTRA</v>
          </cell>
          <cell r="J58" t="str">
            <v>ATM &amp; CASSETS PICKUP DELIVERY</v>
          </cell>
          <cell r="K58">
            <v>3500</v>
          </cell>
          <cell r="L58">
            <v>1500</v>
          </cell>
          <cell r="R58">
            <v>3000</v>
          </cell>
          <cell r="T58">
            <v>8000</v>
          </cell>
        </row>
        <row r="59">
          <cell r="C59">
            <v>2194</v>
          </cell>
          <cell r="D59" t="str">
            <v>BOB</v>
          </cell>
          <cell r="E59" t="str">
            <v>KONAMB Konambe Tal. Sinnar Dist. Nasik Maharashtra. Pin- 422103</v>
          </cell>
          <cell r="G59" t="str">
            <v>C/O SEEMA DAATRAY KARDILE, GROUND FLOOR, AT PO BOREGOAN, TAL SURGANA, DIST NASHIK PIN: 422211</v>
          </cell>
          <cell r="I59" t="str">
            <v>MAHARASTRA</v>
          </cell>
          <cell r="J59" t="str">
            <v>Closure(ATM+Assets)</v>
          </cell>
          <cell r="K59">
            <v>5300</v>
          </cell>
          <cell r="L59">
            <v>1500</v>
          </cell>
          <cell r="M59">
            <v>1300</v>
          </cell>
          <cell r="N59">
            <v>2000</v>
          </cell>
          <cell r="O59">
            <v>2000</v>
          </cell>
          <cell r="P59">
            <v>1000</v>
          </cell>
          <cell r="T59">
            <v>13100</v>
          </cell>
        </row>
        <row r="60">
          <cell r="C60">
            <v>2205</v>
          </cell>
          <cell r="D60" t="str">
            <v>USFB</v>
          </cell>
          <cell r="E60" t="str">
            <v>Nerul East Branch.No. 1&amp;2, Shanti Apartment, Jagatguru Aadi Shankracharya Marg, near Dr Gaiki Clinic, Nerul East, Sector 11, Nerul, Navi Mumbai, Maharashtra 400706</v>
          </cell>
          <cell r="F60" t="str">
            <v>Navi Mumbai</v>
          </cell>
          <cell r="G60" t="str">
            <v>No. 28/1 &amp; 2, Guru Gobind Singh Marg, opp. Tulip Building, Gokuldham Colony, Mulund Colony, Mulund West, Mumbai, Maharashtra 400082.</v>
          </cell>
          <cell r="H60" t="str">
            <v>MUMBAI</v>
          </cell>
          <cell r="I60" t="str">
            <v>MAHARASTRA</v>
          </cell>
          <cell r="J60" t="str">
            <v>Only ATM Pickup&amp;Del</v>
          </cell>
          <cell r="K60">
            <v>3500</v>
          </cell>
          <cell r="L60">
            <v>1500</v>
          </cell>
          <cell r="R60">
            <v>3000</v>
          </cell>
          <cell r="T60">
            <v>8000</v>
          </cell>
        </row>
        <row r="61">
          <cell r="C61">
            <v>2203</v>
          </cell>
          <cell r="D61" t="str">
            <v>USFB</v>
          </cell>
          <cell r="E61" t="str">
            <v>Kalewadi Branch.S No. 3, 30, 31, Sai Sankul Apt Kalewadi Main Rd, Kalewadi, nr. Union Bank Of India, Pimpri Colony, Pimpri-Chinchwad, Maharashtra 411017</v>
          </cell>
          <cell r="F61" t="str">
            <v>Pune</v>
          </cell>
          <cell r="G61" t="str">
            <v>Kasphate Vasti Branch.203/1, Kaspate Wasti Rd, near Saffron - The Exotic Retreat, Vishnu Dev Nagar, Wakad, Pimpri-Chinchwad, Maharashtra 411057</v>
          </cell>
          <cell r="H61" t="str">
            <v>PUNE</v>
          </cell>
          <cell r="I61" t="str">
            <v>MAHARASTRA</v>
          </cell>
          <cell r="J61" t="str">
            <v>Only ATM Pickup&amp;Del</v>
          </cell>
          <cell r="K61">
            <v>3500</v>
          </cell>
          <cell r="L61">
            <v>1500</v>
          </cell>
          <cell r="R61">
            <v>4000</v>
          </cell>
          <cell r="T61">
            <v>9000</v>
          </cell>
        </row>
        <row r="62">
          <cell r="C62">
            <v>2202</v>
          </cell>
          <cell r="D62" t="str">
            <v>USFB</v>
          </cell>
          <cell r="E62" t="str">
            <v>Central Plaza Kalina Branch.Ground, Central Plaza, No. 3, Opp. Mc Donalds, 166, CST Road, Kalina, Maharashtra 400098</v>
          </cell>
          <cell r="F62" t="str">
            <v>Mumbai</v>
          </cell>
          <cell r="G62" t="str">
            <v>Goregaon East Branch.No. 6/B1, Gagan Shopping Complex, near Kulswamini Studio, Gokuldham Colony, Goregaon, Mumbai, Maharashtra 400063</v>
          </cell>
          <cell r="H62" t="str">
            <v>MUMBAI</v>
          </cell>
          <cell r="I62" t="str">
            <v>MAHARASTRA</v>
          </cell>
          <cell r="J62" t="str">
            <v>ATM &amp; CASSETS PICKUP DELIVERY</v>
          </cell>
          <cell r="K62">
            <v>3500</v>
          </cell>
          <cell r="L62">
            <v>1500</v>
          </cell>
          <cell r="R62">
            <v>4000</v>
          </cell>
          <cell r="T62">
            <v>9000</v>
          </cell>
        </row>
        <row r="63">
          <cell r="C63">
            <v>2200</v>
          </cell>
          <cell r="D63" t="str">
            <v>WLA</v>
          </cell>
          <cell r="E63" t="str">
            <v xml:space="preserve">MIRA ROAD WH </v>
          </cell>
          <cell r="F63" t="str">
            <v>MUMBAI</v>
          </cell>
          <cell r="G63" t="str">
            <v>gait apartments shop no 3 Belapur road suryanagar vita Kalwa thane 400605</v>
          </cell>
          <cell r="H63" t="str">
            <v>THANE</v>
          </cell>
          <cell r="I63" t="str">
            <v>MAHARASTRA</v>
          </cell>
          <cell r="J63" t="str">
            <v>3 BATTERY DELIVERY</v>
          </cell>
          <cell r="L63">
            <v>0</v>
          </cell>
          <cell r="O63">
            <v>2000</v>
          </cell>
          <cell r="P63">
            <v>500</v>
          </cell>
          <cell r="T63">
            <v>2500</v>
          </cell>
        </row>
        <row r="64">
          <cell r="C64">
            <v>2225</v>
          </cell>
          <cell r="D64" t="str">
            <v>WLA</v>
          </cell>
          <cell r="E64" t="str">
            <v>kranti chowk Mirajgaw Taluka Karjat Dist Ahmednagar</v>
          </cell>
          <cell r="F64" t="str">
            <v>AHMED NAGER</v>
          </cell>
          <cell r="G64" t="str">
            <v>Kishore Bagai Transport, l-2 Jai Mata Di Compound , 2nd left next to Hetvi Textile, Kalher Bhiwandi, Maharashtra - 421302</v>
          </cell>
          <cell r="H64" t="str">
            <v>BHIWANDI</v>
          </cell>
          <cell r="I64" t="str">
            <v>MAHARASTRA</v>
          </cell>
          <cell r="J64" t="str">
            <v>TEAM RETURNE WAITING ALL DAY</v>
          </cell>
          <cell r="L64">
            <v>0</v>
          </cell>
          <cell r="S64">
            <v>1500</v>
          </cell>
          <cell r="T64">
            <v>1500</v>
          </cell>
        </row>
        <row r="65">
          <cell r="C65">
            <v>2201</v>
          </cell>
          <cell r="D65" t="str">
            <v>WLA</v>
          </cell>
          <cell r="E65" t="str">
            <v xml:space="preserve">MIRA ROAD WH </v>
          </cell>
          <cell r="F65" t="str">
            <v>MUMBAI</v>
          </cell>
          <cell r="G65" t="str">
            <v>Sr.No TPPLG 713 Near God Amba Palekhurd Near Life Hotel Panvel 410208</v>
          </cell>
          <cell r="H65" t="str">
            <v>RAIGAD</v>
          </cell>
          <cell r="I65" t="str">
            <v>MAHARASTRA</v>
          </cell>
          <cell r="J65" t="str">
            <v>1 UPS &amp; 3 BATTERY</v>
          </cell>
          <cell r="L65">
            <v>0</v>
          </cell>
          <cell r="O65">
            <v>2000</v>
          </cell>
          <cell r="P65">
            <v>500</v>
          </cell>
          <cell r="T65">
            <v>2500</v>
          </cell>
        </row>
        <row r="66">
          <cell r="C66">
            <v>2214</v>
          </cell>
          <cell r="D66" t="str">
            <v>WLA</v>
          </cell>
          <cell r="E66" t="str">
            <v>Shop no 31,Aryan Shopping center, Opposite Nalasopara Railway Station Near Plat Form 4 Main Entrance, Nalasopara East Maharashtra
401209</v>
          </cell>
          <cell r="F66" t="str">
            <v>Nalasopara</v>
          </cell>
          <cell r="G66" t="str">
            <v>SHOP NO 12 MUNISUVRAT APT NEAR JAIN TEMPLE VASAI PALGHAR VASAI-VIRAR CITY (M CORP) 401209</v>
          </cell>
          <cell r="H66" t="str">
            <v>VASAI</v>
          </cell>
          <cell r="I66" t="str">
            <v>MAHARASTRA</v>
          </cell>
          <cell r="J66" t="str">
            <v>only ATM Pickup &amp; Delivery</v>
          </cell>
          <cell r="K66">
            <v>3500</v>
          </cell>
          <cell r="L66">
            <v>1500</v>
          </cell>
          <cell r="T66">
            <v>5000</v>
          </cell>
        </row>
        <row r="67">
          <cell r="C67">
            <v>2215</v>
          </cell>
          <cell r="D67" t="str">
            <v>WLA</v>
          </cell>
          <cell r="E67" t="str">
            <v>SHOP NO 12 MUNISUVRAT APT NEAR JAIN TEMPLE VASAI PALGHAR VASAI-VIRAR CITY (M CORP) 401209</v>
          </cell>
          <cell r="F67" t="str">
            <v>Vasai</v>
          </cell>
          <cell r="G67" t="str">
            <v>Kishore Bagai Transport, l-2 Jai Mata Di Compound , 2nd left next to Hetvi Textile, Kalher Bhiwandi, Maharashtra - 421302</v>
          </cell>
          <cell r="H67" t="str">
            <v>BHIWANDI</v>
          </cell>
          <cell r="I67" t="str">
            <v>MAHARASTRA</v>
          </cell>
          <cell r="J67" t="str">
            <v>only ATM Pickup &amp; Delivery</v>
          </cell>
          <cell r="K67">
            <v>3500</v>
          </cell>
          <cell r="L67">
            <v>1500</v>
          </cell>
          <cell r="T67">
            <v>5000</v>
          </cell>
        </row>
        <row r="68">
          <cell r="C68">
            <v>2218</v>
          </cell>
          <cell r="D68" t="str">
            <v>Indusind</v>
          </cell>
          <cell r="E68" t="str">
            <v>Ground Floor, “Coral Squar Vijay Garden Naka, Opp. Suraj Waterpark, Ghodbunder Road, Thane W – 400 607</v>
          </cell>
          <cell r="F68" t="str">
            <v>Thane</v>
          </cell>
          <cell r="G68" t="str">
            <v>SURAJ WATER PARK</v>
          </cell>
          <cell r="H68" t="str">
            <v>THANE</v>
          </cell>
          <cell r="I68" t="str">
            <v>MAHARASTRA</v>
          </cell>
          <cell r="J68" t="str">
            <v>Premises Shifting</v>
          </cell>
          <cell r="K68">
            <v>1800</v>
          </cell>
          <cell r="L68">
            <v>0</v>
          </cell>
          <cell r="T68">
            <v>1800</v>
          </cell>
        </row>
        <row r="69">
          <cell r="C69">
            <v>2002</v>
          </cell>
          <cell r="D69" t="str">
            <v>ICICI</v>
          </cell>
          <cell r="E69" t="str">
            <v>ICICI Bank Atm Shop-14, 15, Vikas Paradise, Bhakti Marg, Mulund West 400080</v>
          </cell>
          <cell r="F69" t="str">
            <v>MUMBAI</v>
          </cell>
          <cell r="G69" t="str">
            <v>MULUND ICICI</v>
          </cell>
          <cell r="H69" t="str">
            <v>MUMBAI</v>
          </cell>
          <cell r="I69" t="str">
            <v>MAHARASTRA</v>
          </cell>
          <cell r="J69" t="str">
            <v>Premises Shifting(branch to atm lobby)</v>
          </cell>
          <cell r="K69">
            <v>1800</v>
          </cell>
          <cell r="L69">
            <v>0</v>
          </cell>
          <cell r="M69">
            <v>1000</v>
          </cell>
          <cell r="T69">
            <v>2800</v>
          </cell>
        </row>
        <row r="70">
          <cell r="C70">
            <v>2236</v>
          </cell>
          <cell r="D70" t="str">
            <v>USFB</v>
          </cell>
          <cell r="E70" t="str">
            <v>Unity Small Finance Bank Ltd, Kalina Branch, Centrum House, CST Road, Vidyanagari Marg, Kalina Santacruz East, Mumbai - 400098</v>
          </cell>
          <cell r="F70" t="str">
            <v>MUMBAI</v>
          </cell>
          <cell r="G70" t="str">
            <v>SANTACRUZE</v>
          </cell>
          <cell r="H70" t="str">
            <v>MUMBAI</v>
          </cell>
          <cell r="I70" t="str">
            <v>MAHARASTRA</v>
          </cell>
          <cell r="J70" t="str">
            <v>Premises Shifting</v>
          </cell>
          <cell r="K70">
            <v>1800</v>
          </cell>
          <cell r="L70">
            <v>0</v>
          </cell>
          <cell r="M70">
            <v>1000</v>
          </cell>
          <cell r="T70">
            <v>2800</v>
          </cell>
        </row>
        <row r="71">
          <cell r="C71">
            <v>2228</v>
          </cell>
          <cell r="D71" t="str">
            <v>Axis</v>
          </cell>
          <cell r="E71" t="str">
            <v>SHOP NO 128 PLOT NO 1 GATE NO 7 NEW COLLECTOR COMPOUND MALVANI MALAD WEST, MUMBAI 400095</v>
          </cell>
          <cell r="F71" t="str">
            <v>Mumbai</v>
          </cell>
          <cell r="G71" t="str">
            <v>Kishore Bagai Transport, l-2 Jai Mata Di Compound , 2nd left next to Hetvi Textile, Kalher Bhiwandi, Maharashtra - 421302</v>
          </cell>
          <cell r="H71" t="str">
            <v>BHIWANDI</v>
          </cell>
          <cell r="I71" t="str">
            <v>MAHARASTRA</v>
          </cell>
          <cell r="J71" t="str">
            <v>Closure(ATM+Assets)</v>
          </cell>
          <cell r="K71">
            <v>3500</v>
          </cell>
          <cell r="L71">
            <v>1500</v>
          </cell>
          <cell r="N71">
            <v>2000</v>
          </cell>
          <cell r="O71">
            <v>2000</v>
          </cell>
          <cell r="P71">
            <v>1000</v>
          </cell>
          <cell r="T71">
            <v>10000</v>
          </cell>
        </row>
        <row r="72">
          <cell r="C72" t="str">
            <v>-</v>
          </cell>
          <cell r="D72" t="str">
            <v>WLA</v>
          </cell>
          <cell r="E72" t="str">
            <v>Gala 156. Near Sent Xavier School Mandvi pada kashimira Mira road East 401107</v>
          </cell>
          <cell r="F72" t="str">
            <v>Miraroad</v>
          </cell>
          <cell r="G72" t="str">
            <v>Shop No 2 harishchandra nagar ULHASNAGAR 3 421004</v>
          </cell>
          <cell r="H72" t="str">
            <v>ULHASNAGAR</v>
          </cell>
          <cell r="I72" t="str">
            <v>MAHARASTRA</v>
          </cell>
          <cell r="J72" t="str">
            <v>Delivery(ATM)</v>
          </cell>
          <cell r="K72">
            <v>3500</v>
          </cell>
          <cell r="L72">
            <v>0</v>
          </cell>
          <cell r="T72">
            <v>3500</v>
          </cell>
        </row>
        <row r="73">
          <cell r="C73" t="str">
            <v>-</v>
          </cell>
          <cell r="D73" t="str">
            <v>WLA</v>
          </cell>
          <cell r="E73" t="str">
            <v>Shop No 2 harishchandra nagar ULHASNAGAR 3 421004</v>
          </cell>
          <cell r="F73" t="str">
            <v>ULHASNAGAR</v>
          </cell>
          <cell r="G73" t="str">
            <v>Gala 156. Near Sent Xavier School Mandvi pada kashimira Mira road East 401107</v>
          </cell>
          <cell r="H73" t="str">
            <v>Miraroad</v>
          </cell>
          <cell r="I73" t="str">
            <v>MAHARASTRA</v>
          </cell>
          <cell r="J73" t="str">
            <v>PICKUP(ATM)</v>
          </cell>
          <cell r="K73">
            <v>3500</v>
          </cell>
          <cell r="L73">
            <v>0</v>
          </cell>
          <cell r="T73">
            <v>3500</v>
          </cell>
        </row>
        <row r="74">
          <cell r="C74" t="str">
            <v>-</v>
          </cell>
          <cell r="D74" t="str">
            <v>WLA</v>
          </cell>
          <cell r="E74" t="str">
            <v>Gala 156. Near Sent Xavier School Mandvi pada kashimira Mira road East 401107</v>
          </cell>
          <cell r="F74" t="str">
            <v>Miraroad</v>
          </cell>
          <cell r="G74" t="str">
            <v>Shop No 2 harishchandra nagar ULHASNAGAR 3 421004</v>
          </cell>
          <cell r="H74" t="str">
            <v>ULHASNAGAR</v>
          </cell>
          <cell r="I74" t="str">
            <v>MAHARASTRA</v>
          </cell>
          <cell r="J74" t="str">
            <v>Delivery(ATM) &amp; Premises Shifting</v>
          </cell>
          <cell r="K74">
            <v>3500</v>
          </cell>
          <cell r="L74">
            <v>0</v>
          </cell>
          <cell r="R74">
            <v>1800</v>
          </cell>
          <cell r="T74">
            <v>5300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 refreshError="1"/>
      <sheetData sheetId="1">
        <row r="1">
          <cell r="E1" t="str">
            <v>Docket No</v>
          </cell>
          <cell r="F1" t="str">
            <v>Bank</v>
          </cell>
          <cell r="G1" t="str">
            <v>From Address</v>
          </cell>
          <cell r="H1" t="str">
            <v>From State</v>
          </cell>
          <cell r="I1" t="str">
            <v>To Address</v>
          </cell>
          <cell r="J1" t="str">
            <v>To State</v>
          </cell>
          <cell r="K1" t="str">
            <v xml:space="preserve">Assets </v>
          </cell>
          <cell r="L1" t="str">
            <v>Status</v>
          </cell>
          <cell r="M1" t="str">
            <v>Date</v>
          </cell>
          <cell r="N1" t="str">
            <v>Total Charges</v>
          </cell>
          <cell r="O1" t="str">
            <v>GST</v>
          </cell>
          <cell r="P1" t="str">
            <v>Grand Total</v>
          </cell>
          <cell r="Q1" t="str">
            <v>Bill No</v>
          </cell>
          <cell r="R1" t="str">
            <v>Bill Date</v>
          </cell>
          <cell r="S1" t="str">
            <v>MSP</v>
          </cell>
          <cell r="T1" t="str">
            <v>Remarks</v>
          </cell>
          <cell r="U1" t="str">
            <v>Amount will received from MSP</v>
          </cell>
        </row>
        <row r="2">
          <cell r="E2">
            <v>1893</v>
          </cell>
          <cell r="F2" t="str">
            <v>WLA</v>
          </cell>
          <cell r="G2" t="str">
            <v>Nainital Bank - G.S. Medical College at NH 24 Village Peeplabandpur Near Railway Station, Pilkhuwa  245304</v>
          </cell>
          <cell r="H2" t="str">
            <v>Uttar Pradesh</v>
          </cell>
          <cell r="I2" t="str">
            <v>Plot no 123, Sector 56 Phase IV, Industrial estate, kundli sonipat, sonipat, Haryana, 131028</v>
          </cell>
          <cell r="J2" t="str">
            <v>Haryana</v>
          </cell>
          <cell r="K2" t="str">
            <v>ATM &amp; Assets</v>
          </cell>
          <cell r="L2" t="str">
            <v>Delivered</v>
          </cell>
          <cell r="M2">
            <v>45892</v>
          </cell>
          <cell r="N2">
            <v>17000</v>
          </cell>
          <cell r="O2">
            <v>3060</v>
          </cell>
          <cell r="P2">
            <v>20060</v>
          </cell>
          <cell r="Q2" t="str">
            <v>SSS/2025-26/098</v>
          </cell>
          <cell r="R2">
            <v>45904</v>
          </cell>
          <cell r="S2" t="str">
            <v>NCR-Umesh</v>
          </cell>
          <cell r="T2" t="str">
            <v>Bill not submitted yet it will be share with client in Sep</v>
          </cell>
          <cell r="U2">
            <v>20400</v>
          </cell>
        </row>
        <row r="3">
          <cell r="E3">
            <v>2011</v>
          </cell>
          <cell r="F3" t="str">
            <v>WLA</v>
          </cell>
          <cell r="G3" t="str">
            <v>Shop No. 42, Floridaa O P Chains Rd, Sector 82, Faridabad, Haryana 121002</v>
          </cell>
          <cell r="H3" t="str">
            <v>Haryana</v>
          </cell>
          <cell r="I3" t="str">
            <v>Plot no 123, Sector 56 Phase IV, Industrial estate, kundli sonipat, sonipat, Haryana, 131028</v>
          </cell>
          <cell r="J3" t="str">
            <v>Haryana</v>
          </cell>
          <cell r="K3" t="str">
            <v>ATM &amp; Assets</v>
          </cell>
          <cell r="L3" t="str">
            <v>Delivered</v>
          </cell>
          <cell r="M3">
            <v>45876</v>
          </cell>
          <cell r="N3">
            <v>17000</v>
          </cell>
          <cell r="O3">
            <v>3060</v>
          </cell>
          <cell r="P3">
            <v>20060</v>
          </cell>
          <cell r="Q3" t="str">
            <v>SSS/2025-26/093</v>
          </cell>
          <cell r="R3">
            <v>45904</v>
          </cell>
          <cell r="S3" t="str">
            <v>Hitachi</v>
          </cell>
          <cell r="T3" t="str">
            <v>Bill Submitted in Aug-25</v>
          </cell>
          <cell r="U3">
            <v>25300</v>
          </cell>
        </row>
        <row r="4">
          <cell r="E4">
            <v>2041</v>
          </cell>
          <cell r="F4" t="str">
            <v>WLA</v>
          </cell>
          <cell r="G4" t="str">
            <v>Sarvodaya Public School, Tehsil Road Sajjangarh, Vpo-Sajjangarh, Tehsil-Sajjangarh, Dist-Banswara,Rajasthan,Pin Code-327602</v>
          </cell>
          <cell r="H4" t="str">
            <v>Rajasthan</v>
          </cell>
          <cell r="I4" t="str">
            <v>Plot no 123, Sector 56 Phase IV, Industrial estate, kundli sonipat, sonipat, Haryana, 131028</v>
          </cell>
          <cell r="J4" t="str">
            <v>Haryana</v>
          </cell>
          <cell r="K4" t="str">
            <v>ATM &amp; Assets</v>
          </cell>
          <cell r="L4" t="str">
            <v>Picked up/ Delivery Pending</v>
          </cell>
          <cell r="M4">
            <v>45883</v>
          </cell>
          <cell r="N4">
            <v>21000</v>
          </cell>
          <cell r="O4">
            <v>3780</v>
          </cell>
          <cell r="P4">
            <v>24780</v>
          </cell>
          <cell r="Q4" t="str">
            <v>SSS/2025-26/094</v>
          </cell>
          <cell r="R4">
            <v>45904</v>
          </cell>
          <cell r="S4" t="str">
            <v>Hitachi</v>
          </cell>
          <cell r="T4" t="str">
            <v>Bill Submitted in Aug-25</v>
          </cell>
          <cell r="U4">
            <v>27000</v>
          </cell>
        </row>
        <row r="5">
          <cell r="E5">
            <v>2047</v>
          </cell>
          <cell r="F5" t="str">
            <v>WLA</v>
          </cell>
          <cell r="G5" t="str">
            <v>Shop no 1, Gate 2, PGP glass kuwarda chokdi kosamba</v>
          </cell>
          <cell r="H5" t="str">
            <v>Gujarat</v>
          </cell>
          <cell r="I5" t="str">
            <v>Kishore Bagai Transport, l-2 Jai Mata Di Compound , 2nd left next to Hetvi Textile, Kalher Bhiwandi, Maharashtra - 421302</v>
          </cell>
          <cell r="J5" t="str">
            <v>Maharashtra</v>
          </cell>
          <cell r="K5" t="str">
            <v>ATM &amp; Assets</v>
          </cell>
          <cell r="L5" t="str">
            <v>Picked up/ Delivery Pending</v>
          </cell>
          <cell r="M5">
            <v>45875</v>
          </cell>
          <cell r="N5">
            <v>19000</v>
          </cell>
          <cell r="O5">
            <v>3420</v>
          </cell>
          <cell r="P5">
            <v>22420</v>
          </cell>
          <cell r="Q5" t="str">
            <v>SSS/2025-26/099</v>
          </cell>
          <cell r="R5">
            <v>45904</v>
          </cell>
          <cell r="S5" t="str">
            <v>NCR-Umesh</v>
          </cell>
          <cell r="T5" t="str">
            <v>Bill Submitted in Aug-25</v>
          </cell>
          <cell r="U5">
            <v>20400</v>
          </cell>
        </row>
        <row r="6">
          <cell r="E6">
            <v>2048</v>
          </cell>
          <cell r="F6" t="str">
            <v>WLA</v>
          </cell>
          <cell r="G6" t="str">
            <v>C/O Praveen Kumar Agrawal,Gangad Talai Main Road,Vpo-Gangadtali,Dist.-Banswara,Rajasthan Near Jodhpur Mithae Bhandar Pincode 327601.</v>
          </cell>
          <cell r="H6" t="str">
            <v>Rajasthan</v>
          </cell>
          <cell r="I6" t="str">
            <v>Plot no 123, Sector 56 Phase IV, Industrial estate, kundli sonipat, sonipat, Haryana, 131028</v>
          </cell>
          <cell r="J6" t="str">
            <v>Haryana</v>
          </cell>
          <cell r="K6" t="str">
            <v>ATM &amp; Assets</v>
          </cell>
          <cell r="L6" t="str">
            <v>Picked up/ Delivery Pending</v>
          </cell>
          <cell r="M6">
            <v>45883</v>
          </cell>
          <cell r="N6">
            <v>21000</v>
          </cell>
          <cell r="O6">
            <v>3780</v>
          </cell>
          <cell r="P6">
            <v>24780</v>
          </cell>
          <cell r="Q6" t="str">
            <v>SSS/2025-26/094</v>
          </cell>
          <cell r="R6">
            <v>45904</v>
          </cell>
          <cell r="S6" t="str">
            <v>Hitachi</v>
          </cell>
          <cell r="T6" t="str">
            <v>Bill Submitted in Aug-25</v>
          </cell>
          <cell r="U6">
            <v>27000</v>
          </cell>
        </row>
        <row r="7">
          <cell r="E7">
            <v>2049</v>
          </cell>
          <cell r="F7" t="str">
            <v>WLA</v>
          </cell>
          <cell r="G7" t="str">
            <v>Ahmedabad warehouse</v>
          </cell>
          <cell r="H7" t="str">
            <v>Gujarat</v>
          </cell>
          <cell r="I7" t="str">
            <v>SHREE MAHALAXMI KIRANA STORE,MAIN BAZAR,MAHISA, MU. POST - MAHISA, TALUKO - MAHUDHA, DIST.- KHEDA PINCODE - 387340</v>
          </cell>
          <cell r="J7" t="str">
            <v>Gujarat</v>
          </cell>
          <cell r="K7" t="str">
            <v>Servo Stabilizer</v>
          </cell>
          <cell r="L7" t="str">
            <v>Delivered</v>
          </cell>
          <cell r="M7">
            <v>45877</v>
          </cell>
          <cell r="N7">
            <v>3000</v>
          </cell>
          <cell r="O7">
            <v>540</v>
          </cell>
          <cell r="P7">
            <v>3540</v>
          </cell>
          <cell r="Q7" t="str">
            <v>SSS/2025-26/093</v>
          </cell>
          <cell r="R7">
            <v>45904</v>
          </cell>
          <cell r="S7" t="str">
            <v>Hitachi</v>
          </cell>
          <cell r="T7" t="str">
            <v>Bill Submitted in Aug-25</v>
          </cell>
          <cell r="U7">
            <v>5800</v>
          </cell>
        </row>
        <row r="8">
          <cell r="E8">
            <v>2050</v>
          </cell>
          <cell r="F8" t="str">
            <v>WLA</v>
          </cell>
          <cell r="G8" t="str">
            <v>Shop No-1,Adjoining Csp Point &amp; Pm Beej Bandar Outlet, Achina Bhiwani,Haryana</v>
          </cell>
          <cell r="H8" t="str">
            <v>Haryana</v>
          </cell>
          <cell r="I8" t="str">
            <v>Plot no 123, Sector 56 Phase IV, Industrial estate, kundli sonipat, sonipat, Haryana, 131028</v>
          </cell>
          <cell r="J8" t="str">
            <v>Haryana</v>
          </cell>
          <cell r="K8" t="str">
            <v>ATM &amp; Assets</v>
          </cell>
          <cell r="L8" t="str">
            <v>Delivered</v>
          </cell>
          <cell r="M8">
            <v>45881</v>
          </cell>
          <cell r="N8">
            <v>17000</v>
          </cell>
          <cell r="O8">
            <v>3060</v>
          </cell>
          <cell r="P8">
            <v>20060</v>
          </cell>
          <cell r="Q8" t="str">
            <v>SSS/2025-26/093</v>
          </cell>
          <cell r="R8">
            <v>45904</v>
          </cell>
          <cell r="S8" t="str">
            <v>Hitachi</v>
          </cell>
          <cell r="T8" t="str">
            <v>Bill Submitted in Aug-25</v>
          </cell>
          <cell r="U8">
            <v>25300</v>
          </cell>
        </row>
        <row r="9">
          <cell r="E9">
            <v>2065</v>
          </cell>
          <cell r="F9" t="str">
            <v>WLA</v>
          </cell>
          <cell r="G9" t="str">
            <v>428,Basant Vihar, Muzaffarnagar, Uttar Pradesh,251001,India.</v>
          </cell>
          <cell r="H9" t="str">
            <v>Uttar Pradesh</v>
          </cell>
          <cell r="I9" t="str">
            <v>Plot no 123, Sector 56 Phase IV, Industrial estate, kundli sonipat, sonipat, Haryana, 131028</v>
          </cell>
          <cell r="J9" t="str">
            <v>Haryana</v>
          </cell>
          <cell r="K9" t="str">
            <v>ATM &amp; Assets</v>
          </cell>
          <cell r="L9" t="str">
            <v>Delivered</v>
          </cell>
          <cell r="M9">
            <v>45882</v>
          </cell>
          <cell r="N9">
            <v>18000</v>
          </cell>
          <cell r="O9">
            <v>3240</v>
          </cell>
          <cell r="P9">
            <v>21240</v>
          </cell>
          <cell r="Q9" t="str">
            <v>SSS/2025-26/098</v>
          </cell>
          <cell r="R9">
            <v>45904</v>
          </cell>
          <cell r="S9" t="str">
            <v>NCR-Umesh</v>
          </cell>
          <cell r="T9" t="str">
            <v>Bill Submitted in Aug-25</v>
          </cell>
          <cell r="U9">
            <v>20400</v>
          </cell>
        </row>
        <row r="10">
          <cell r="E10">
            <v>2064</v>
          </cell>
          <cell r="F10" t="str">
            <v>WLA</v>
          </cell>
          <cell r="G10" t="str">
            <v>MAIN TIRAHA, NEAR HADAF BRIDGE, DAHOD ROAD,DAHOD ROAD, TALUKA- LIMKHEDA, DIST-DAHOD, PIN CODE- 389140</v>
          </cell>
          <cell r="H10" t="str">
            <v>Gujarat</v>
          </cell>
          <cell r="I10" t="str">
            <v>Kishore Bagai Transport, l-2 Jai Mata Di Compound , 2nd left next to Hetvi Textile, Kalher Bhiwandi, Maharashtra - 421302</v>
          </cell>
          <cell r="J10" t="str">
            <v>Maharashtra</v>
          </cell>
          <cell r="K10" t="str">
            <v>ATM &amp; Assets</v>
          </cell>
          <cell r="L10" t="str">
            <v>Picked up/ Delivery Pending</v>
          </cell>
          <cell r="M10">
            <v>45882</v>
          </cell>
          <cell r="N10">
            <v>21000</v>
          </cell>
          <cell r="O10">
            <v>3780</v>
          </cell>
          <cell r="P10">
            <v>24780</v>
          </cell>
          <cell r="Q10" t="str">
            <v>SSS/2025-26/095</v>
          </cell>
          <cell r="R10">
            <v>45904</v>
          </cell>
          <cell r="S10" t="str">
            <v>Hitachi</v>
          </cell>
          <cell r="T10" t="str">
            <v>Bill Submitted in Aug-25</v>
          </cell>
          <cell r="U10">
            <v>27000</v>
          </cell>
        </row>
        <row r="11">
          <cell r="E11">
            <v>2063</v>
          </cell>
          <cell r="F11" t="str">
            <v>WLA</v>
          </cell>
          <cell r="G11" t="str">
            <v>AGARAVAT CHOWK NR.GAYATRI DIARY JOSHIPARA JUNAGADH</v>
          </cell>
          <cell r="H11" t="str">
            <v>Gujarat</v>
          </cell>
          <cell r="I11" t="str">
            <v>Kishore Bagai Transport, l-2 Jai Mata Di Compound , 2nd left next to Hetvi Textile, Kalher Bhiwandi, Maharashtra - 421302</v>
          </cell>
          <cell r="J11" t="str">
            <v>Maharashtra</v>
          </cell>
          <cell r="K11" t="str">
            <v>ATM &amp; Assets</v>
          </cell>
          <cell r="L11" t="str">
            <v>Picked up/ Delivery Pending</v>
          </cell>
          <cell r="M11">
            <v>45883</v>
          </cell>
          <cell r="N11">
            <v>21000</v>
          </cell>
          <cell r="O11">
            <v>3780</v>
          </cell>
          <cell r="P11">
            <v>24780</v>
          </cell>
          <cell r="Q11" t="str">
            <v>SSS/2025-26/095</v>
          </cell>
          <cell r="R11">
            <v>45904</v>
          </cell>
          <cell r="S11" t="str">
            <v>Hitachi</v>
          </cell>
          <cell r="T11" t="str">
            <v>Bill Submitted in Aug-25</v>
          </cell>
          <cell r="U11">
            <v>27000</v>
          </cell>
        </row>
        <row r="12">
          <cell r="E12">
            <v>1731</v>
          </cell>
          <cell r="F12" t="str">
            <v>WLA</v>
          </cell>
          <cell r="G12" t="str">
            <v>Balaji Nagar, Main Road, Boosi, Pali</v>
          </cell>
          <cell r="H12" t="str">
            <v>Rajasthan</v>
          </cell>
          <cell r="I12" t="str">
            <v>Plot no 123, Sector 56 Phase IV, Industrial estate, kundli sonipat, sonipat, Haryana, 131028</v>
          </cell>
          <cell r="J12" t="str">
            <v>Haryana</v>
          </cell>
          <cell r="K12" t="str">
            <v>ATM &amp; Assets</v>
          </cell>
          <cell r="L12" t="str">
            <v>Delivered</v>
          </cell>
          <cell r="M12">
            <v>45890</v>
          </cell>
          <cell r="N12">
            <v>19000</v>
          </cell>
          <cell r="O12">
            <v>3420</v>
          </cell>
          <cell r="P12">
            <v>22420</v>
          </cell>
          <cell r="Q12" t="str">
            <v>SSS/2025-26/098</v>
          </cell>
          <cell r="R12">
            <v>45904</v>
          </cell>
          <cell r="S12" t="str">
            <v>NCR-Umesh</v>
          </cell>
          <cell r="T12" t="str">
            <v>Bill not submitted yet it will be share with client in Sep</v>
          </cell>
          <cell r="U12">
            <v>21600</v>
          </cell>
        </row>
        <row r="13">
          <cell r="E13">
            <v>2077</v>
          </cell>
          <cell r="F13" t="str">
            <v>WLA</v>
          </cell>
          <cell r="G13" t="str">
            <v>G-11, Swastik Plaza, Beside Bank Of Baroda, Raj Nagar, Surat-Navsari Road, Sachin, Surat-394230.</v>
          </cell>
          <cell r="H13" t="str">
            <v>Gujarat</v>
          </cell>
          <cell r="I13" t="str">
            <v>Plot no 123, Sector 56 Phase IV, Industrial estate, kundli sonipat, sonipat, Haryana, 131028</v>
          </cell>
          <cell r="J13" t="str">
            <v>Haryana</v>
          </cell>
          <cell r="K13" t="str">
            <v>ATM &amp; Assets</v>
          </cell>
          <cell r="L13" t="str">
            <v>Picked up/ Delivery Pending</v>
          </cell>
          <cell r="M13">
            <v>45887</v>
          </cell>
          <cell r="N13">
            <v>21000</v>
          </cell>
          <cell r="O13">
            <v>3780</v>
          </cell>
          <cell r="P13">
            <v>24780</v>
          </cell>
          <cell r="Q13" t="str">
            <v>SSS/2025-26/094</v>
          </cell>
          <cell r="R13">
            <v>45904</v>
          </cell>
          <cell r="S13" t="str">
            <v>Hitachi</v>
          </cell>
          <cell r="T13" t="str">
            <v>Bill not submitted yet it will be share with client in Sep</v>
          </cell>
          <cell r="U13">
            <v>27000</v>
          </cell>
        </row>
        <row r="14">
          <cell r="E14">
            <v>2078</v>
          </cell>
          <cell r="F14" t="str">
            <v>WLA</v>
          </cell>
          <cell r="G14" t="str">
            <v>Shop of Nileshbhai Kyada Nr Aishwarya Mill Patel Nagar Vareli Kadodara Surat 394327</v>
          </cell>
          <cell r="H14" t="str">
            <v>Gujarat</v>
          </cell>
          <cell r="I14" t="str">
            <v>Plot no 123, Sector 56 Phase IV, Industrial estate, kundli sonipat, sonipat, Haryana, 131028</v>
          </cell>
          <cell r="J14" t="str">
            <v>Haryana</v>
          </cell>
          <cell r="K14" t="str">
            <v>ATM &amp; Assets</v>
          </cell>
          <cell r="L14" t="str">
            <v>Picked up/ Delivery Pending</v>
          </cell>
          <cell r="M14">
            <v>45887</v>
          </cell>
          <cell r="N14">
            <v>21000</v>
          </cell>
          <cell r="O14">
            <v>3780</v>
          </cell>
          <cell r="P14">
            <v>24780</v>
          </cell>
          <cell r="Q14" t="str">
            <v>SSS/2025-26/094</v>
          </cell>
          <cell r="R14">
            <v>45904</v>
          </cell>
          <cell r="S14" t="str">
            <v>Hitachi</v>
          </cell>
          <cell r="T14" t="str">
            <v>Bill not submitted yet it will be share with client in Sep</v>
          </cell>
          <cell r="U14">
            <v>27000</v>
          </cell>
        </row>
        <row r="15">
          <cell r="E15">
            <v>2079</v>
          </cell>
          <cell r="F15" t="str">
            <v>WLA</v>
          </cell>
          <cell r="G15" t="str">
            <v>Ashirwadnagar, Pandesara, Plot No. 466, Balod gaon, GIDC Pandesara.</v>
          </cell>
          <cell r="H15" t="str">
            <v>Gujarat</v>
          </cell>
          <cell r="I15" t="str">
            <v>Kishore Bagai Transport, l-2 Jai Mata Di Compound , 2nd left next to Hetvi Textile, Kalher Bhiwandi, Maharashtra - 421302</v>
          </cell>
          <cell r="J15" t="str">
            <v>Maharashtra</v>
          </cell>
          <cell r="K15" t="str">
            <v>ATM &amp; Assets</v>
          </cell>
          <cell r="L15" t="str">
            <v>Picked up/ Delivery Pending</v>
          </cell>
          <cell r="M15">
            <v>45887</v>
          </cell>
          <cell r="N15">
            <v>19000</v>
          </cell>
          <cell r="O15">
            <v>3420</v>
          </cell>
          <cell r="P15">
            <v>22420</v>
          </cell>
          <cell r="Q15" t="str">
            <v>SSS/2025-26/099</v>
          </cell>
          <cell r="R15">
            <v>45904</v>
          </cell>
          <cell r="S15" t="str">
            <v>NCR-Umesh</v>
          </cell>
          <cell r="T15" t="str">
            <v>Bill not submitted yet it will be share with client in Sep</v>
          </cell>
          <cell r="U15">
            <v>20400</v>
          </cell>
        </row>
        <row r="16">
          <cell r="E16">
            <v>2098</v>
          </cell>
          <cell r="F16" t="str">
            <v>WLA</v>
          </cell>
          <cell r="G16" t="str">
            <v>Shop 11 Ashirwad Complex Sector 1 Plot No 83 Koperkhairne Navi Mumbai</v>
          </cell>
          <cell r="H16" t="str">
            <v>Maharashtra</v>
          </cell>
          <cell r="I16" t="str">
            <v>Plot no 123, Sector 56 Phase IV, Industrial estate, kundli sonipat, sonipat, Haryana, 131028</v>
          </cell>
          <cell r="J16" t="str">
            <v>Haryana</v>
          </cell>
          <cell r="K16" t="str">
            <v>ATM &amp; Assets</v>
          </cell>
          <cell r="L16" t="str">
            <v>Delivered</v>
          </cell>
          <cell r="M16">
            <v>45890</v>
          </cell>
          <cell r="N16">
            <v>21000</v>
          </cell>
          <cell r="O16">
            <v>3780</v>
          </cell>
          <cell r="P16">
            <v>24780</v>
          </cell>
          <cell r="Q16" t="str">
            <v>SSS/2025-26/093</v>
          </cell>
          <cell r="R16">
            <v>45904</v>
          </cell>
          <cell r="S16" t="str">
            <v>Hitachi</v>
          </cell>
          <cell r="T16" t="str">
            <v>Bill not submitted yet it will be share with client in Sep</v>
          </cell>
          <cell r="U16">
            <v>27000</v>
          </cell>
        </row>
        <row r="17">
          <cell r="E17">
            <v>2102</v>
          </cell>
          <cell r="F17" t="str">
            <v>WLA</v>
          </cell>
          <cell r="G17" t="str">
            <v>Plot no 123, Sector 56 Phase IV, Industrial estate, kundli sonipat, sonipat, Haryana, 131028</v>
          </cell>
          <cell r="H17" t="str">
            <v>Haryana</v>
          </cell>
          <cell r="I17" t="str">
            <v>Shop No 15, Sherpur, Jansath Road Muzaffernagar</v>
          </cell>
          <cell r="J17" t="str">
            <v>Uttar Pradesh</v>
          </cell>
          <cell r="K17" t="str">
            <v>ATM</v>
          </cell>
          <cell r="L17" t="str">
            <v>Delivered</v>
          </cell>
          <cell r="M17">
            <v>45891</v>
          </cell>
          <cell r="N17">
            <v>7000</v>
          </cell>
          <cell r="O17">
            <v>1260</v>
          </cell>
          <cell r="P17">
            <v>8260</v>
          </cell>
          <cell r="Q17" t="str">
            <v>SSS/2025-26/098</v>
          </cell>
          <cell r="R17">
            <v>45904</v>
          </cell>
          <cell r="S17" t="str">
            <v>Hitachi</v>
          </cell>
          <cell r="T17" t="str">
            <v>Bill not submitted yet it will be share with client in Sep</v>
          </cell>
          <cell r="U17">
            <v>18500</v>
          </cell>
        </row>
        <row r="18">
          <cell r="E18">
            <v>2097</v>
          </cell>
          <cell r="F18" t="str">
            <v>WLA</v>
          </cell>
          <cell r="G18" t="str">
            <v>Sardar Samand Road Near By Gora Hotel Jhalamand, Jodhpur 342005</v>
          </cell>
          <cell r="H18" t="str">
            <v>Rajasthan</v>
          </cell>
          <cell r="I18" t="str">
            <v>Plot no 123, Sector 56 Phase IV, Industrial estate, kundli sonipat, sonipat, Haryana, 131028</v>
          </cell>
          <cell r="J18" t="str">
            <v>Haryana</v>
          </cell>
          <cell r="K18" t="str">
            <v>ATM &amp; Assets</v>
          </cell>
          <cell r="L18" t="str">
            <v>Visit Cancellation</v>
          </cell>
          <cell r="M18">
            <v>45894</v>
          </cell>
          <cell r="N18">
            <v>2000</v>
          </cell>
          <cell r="O18">
            <v>360</v>
          </cell>
          <cell r="P18">
            <v>2360</v>
          </cell>
          <cell r="Q18" t="str">
            <v>SSS/2025-26/096</v>
          </cell>
          <cell r="R18">
            <v>45904</v>
          </cell>
          <cell r="S18" t="str">
            <v>Hitachi</v>
          </cell>
          <cell r="T18" t="str">
            <v>Bill not submitted yet it will be share with client in Sep</v>
          </cell>
          <cell r="U18">
            <v>27000</v>
          </cell>
        </row>
        <row r="19">
          <cell r="E19">
            <v>2101</v>
          </cell>
          <cell r="F19" t="str">
            <v>WLA</v>
          </cell>
          <cell r="G19" t="str">
            <v>Shop No - 5,Shravani Industries, Pune- Nashik Highway, Sonawane vasti, Kurali, Tal- Khed, Pune-410501</v>
          </cell>
          <cell r="H19" t="str">
            <v>Maharashtra</v>
          </cell>
          <cell r="I19" t="str">
            <v>Plot no 123, Sector 56 Phase IV, Industrial estate, kundli sonipat, sonipat, Haryana, 131028</v>
          </cell>
          <cell r="J19" t="str">
            <v>Haryana</v>
          </cell>
          <cell r="K19" t="str">
            <v>ATM &amp; Assets</v>
          </cell>
          <cell r="L19" t="str">
            <v>Delivered</v>
          </cell>
          <cell r="M19">
            <v>45891</v>
          </cell>
          <cell r="N19">
            <v>22000</v>
          </cell>
          <cell r="O19">
            <v>3960</v>
          </cell>
          <cell r="P19">
            <v>25960</v>
          </cell>
          <cell r="Q19" t="str">
            <v>SSS/2025-26/093</v>
          </cell>
          <cell r="R19">
            <v>45904</v>
          </cell>
          <cell r="S19" t="str">
            <v>Hitachi</v>
          </cell>
          <cell r="T19" t="str">
            <v>Bill not submitted yet it will be share with client in Sep</v>
          </cell>
          <cell r="U19">
            <v>27000</v>
          </cell>
        </row>
        <row r="20">
          <cell r="E20">
            <v>2100</v>
          </cell>
          <cell r="F20" t="str">
            <v>WLA</v>
          </cell>
          <cell r="G20" t="str">
            <v>Shop No 2,V&amp;P Khori , Rewari, Haryana..Near Union Bank Bus Stand Pin Code 123101</v>
          </cell>
          <cell r="H20" t="str">
            <v>Haryana</v>
          </cell>
          <cell r="I20" t="str">
            <v>Plot no 123, Sector 56 Phase IV, Industrial estate, kundli sonipat, sonipat, Haryana, 131028</v>
          </cell>
          <cell r="J20" t="str">
            <v>Haryana</v>
          </cell>
          <cell r="K20" t="str">
            <v>ATM &amp; Assets</v>
          </cell>
          <cell r="L20" t="str">
            <v>Visit Cancellation</v>
          </cell>
          <cell r="M20">
            <v>45898</v>
          </cell>
          <cell r="N20">
            <v>2000</v>
          </cell>
          <cell r="O20">
            <v>360</v>
          </cell>
          <cell r="P20">
            <v>2360</v>
          </cell>
          <cell r="Q20" t="str">
            <v>SSS/2025-26/096</v>
          </cell>
          <cell r="R20">
            <v>45904</v>
          </cell>
          <cell r="S20" t="str">
            <v>Hitachi</v>
          </cell>
          <cell r="T20" t="str">
            <v>Bill not submitted yet it will be share with client in Sep</v>
          </cell>
          <cell r="U20">
            <v>21800</v>
          </cell>
        </row>
        <row r="21">
          <cell r="E21">
            <v>1304</v>
          </cell>
          <cell r="F21" t="str">
            <v>WLA</v>
          </cell>
          <cell r="G21" t="str">
            <v>Biwan,Pinangwa Road, Bewan, Mewat, Haryana, 122104</v>
          </cell>
          <cell r="H21" t="str">
            <v>Haryana</v>
          </cell>
          <cell r="I21" t="str">
            <v>Plot no 123, Sector 56 Phase IV, Industrial estate, kundli sonipat, sonipat, Haryana, 131028</v>
          </cell>
          <cell r="J21" t="str">
            <v>Haryana</v>
          </cell>
          <cell r="K21" t="str">
            <v>ATM &amp; Assets</v>
          </cell>
          <cell r="L21" t="str">
            <v>Delivered</v>
          </cell>
          <cell r="M21">
            <v>45890</v>
          </cell>
          <cell r="N21">
            <v>17000</v>
          </cell>
          <cell r="O21">
            <v>3060</v>
          </cell>
          <cell r="P21">
            <v>20060</v>
          </cell>
          <cell r="Q21" t="str">
            <v>SSS/2025-26/093</v>
          </cell>
          <cell r="R21">
            <v>45904</v>
          </cell>
          <cell r="S21" t="str">
            <v>Hitachi</v>
          </cell>
          <cell r="U21">
            <v>20300</v>
          </cell>
        </row>
        <row r="22">
          <cell r="E22">
            <v>2099</v>
          </cell>
          <cell r="F22" t="str">
            <v>WLA</v>
          </cell>
          <cell r="G22" t="str">
            <v>Shop No.2, Near Lodhi Hospital, Bandikui Road, Sikandra, Tehsil-Sikrai, Dist.-Dausa, Rajasthan, Pin Code-303326</v>
          </cell>
          <cell r="H22" t="str">
            <v>Rajasthan</v>
          </cell>
          <cell r="I22" t="str">
            <v>Plot no 123, Sector 56 Phase IV, Industrial estate, kundli sonipat, sonipat, Haryana, 131028</v>
          </cell>
          <cell r="J22" t="str">
            <v>Haryana</v>
          </cell>
          <cell r="K22" t="str">
            <v>ATM &amp; Assets</v>
          </cell>
          <cell r="L22" t="str">
            <v>Delivered</v>
          </cell>
          <cell r="M22">
            <v>45890</v>
          </cell>
          <cell r="N22">
            <v>22000</v>
          </cell>
          <cell r="O22">
            <v>3960</v>
          </cell>
          <cell r="P22">
            <v>25960</v>
          </cell>
          <cell r="Q22" t="str">
            <v>SSS/2025-26/093</v>
          </cell>
          <cell r="R22">
            <v>45904</v>
          </cell>
          <cell r="S22" t="str">
            <v>Hitachi</v>
          </cell>
          <cell r="T22" t="str">
            <v>Bill not submitted yet it will be share with client in Sep</v>
          </cell>
          <cell r="U22">
            <v>31000</v>
          </cell>
        </row>
        <row r="23">
          <cell r="E23">
            <v>2107</v>
          </cell>
          <cell r="F23" t="str">
            <v>BOB</v>
          </cell>
          <cell r="G23" t="str">
            <v>SAYAJI  YASH KAMAL BUILDING  LOKMANYA TILAK ROAD  SAYAJIGUNG  BARODA  GUJARAT  PIN-390005</v>
          </cell>
          <cell r="H23" t="str">
            <v>Gujarat</v>
          </cell>
          <cell r="I23" t="str">
            <v>SAYAJI  YASH KAMAL BUILDING  LOKMANYA TILAK ROAD  SAYAJIGUNG  BARODA  GUJARAT  PIN-390005 ( Insite the Branch )</v>
          </cell>
          <cell r="J23" t="str">
            <v>Gujarat</v>
          </cell>
          <cell r="K23" t="str">
            <v>ATM</v>
          </cell>
          <cell r="L23" t="str">
            <v>Delivered</v>
          </cell>
          <cell r="M23">
            <v>45894</v>
          </cell>
          <cell r="N23">
            <v>3500</v>
          </cell>
          <cell r="O23">
            <v>630</v>
          </cell>
          <cell r="P23">
            <v>4130</v>
          </cell>
          <cell r="Q23" t="str">
            <v>SSS/2025-26/097</v>
          </cell>
          <cell r="R23">
            <v>45904</v>
          </cell>
          <cell r="S23" t="str">
            <v>NCR-Hari</v>
          </cell>
          <cell r="T23" t="str">
            <v>Bill not submitted yet it will be share with client in Sep</v>
          </cell>
          <cell r="U23">
            <v>4000</v>
          </cell>
        </row>
        <row r="24">
          <cell r="E24">
            <v>2108</v>
          </cell>
          <cell r="F24" t="str">
            <v>BOB</v>
          </cell>
          <cell r="G24" t="str">
            <v>SAYAJI  YASH KAMAL BUILDING  LOKMANYA TILAK ROAD  SAYAJIGUNG  BARODA  GUJARAT  PIN-390005</v>
          </cell>
          <cell r="H24" t="str">
            <v>Gujarat</v>
          </cell>
          <cell r="I24" t="str">
            <v>SAYAJI  YASH KAMAL BUILDING  LOKMANYA TILAK ROAD  SAYAJIGUNG  BARODA  GUJARAT  PIN-390005 ( Insite the Branch )</v>
          </cell>
          <cell r="J24" t="str">
            <v>Gujarat</v>
          </cell>
          <cell r="K24" t="str">
            <v>ATM</v>
          </cell>
          <cell r="L24" t="str">
            <v>Delivered</v>
          </cell>
          <cell r="M24">
            <v>45894</v>
          </cell>
          <cell r="N24">
            <v>3500</v>
          </cell>
          <cell r="O24">
            <v>630</v>
          </cell>
          <cell r="P24">
            <v>4130</v>
          </cell>
          <cell r="Q24" t="str">
            <v>SSS/2025-26/097</v>
          </cell>
          <cell r="R24">
            <v>45904</v>
          </cell>
          <cell r="S24" t="str">
            <v>NCR-Hari</v>
          </cell>
          <cell r="T24" t="str">
            <v>Bill not submitted yet it will be share with client in Sep</v>
          </cell>
          <cell r="U24">
            <v>4000</v>
          </cell>
        </row>
        <row r="25">
          <cell r="E25" t="str">
            <v>UNV</v>
          </cell>
          <cell r="F25" t="str">
            <v>WLA</v>
          </cell>
          <cell r="G25" t="str">
            <v>Near Bank Of India, Khatraj Circle, Mehmdavad Dist- Kheda Gujrat 387130</v>
          </cell>
          <cell r="H25" t="str">
            <v>Gujarat</v>
          </cell>
          <cell r="I25" t="str">
            <v>Kishore Bagai Transport, l-2 Jai Mata Di Compound , 2nd left next to Hetvi Textile, Kalher Bhiwandi, Maharashtra - 421302</v>
          </cell>
          <cell r="J25" t="str">
            <v>Maharashtra</v>
          </cell>
          <cell r="K25" t="str">
            <v>ATM &amp; Assets</v>
          </cell>
          <cell r="L25" t="str">
            <v>Picked up/ Delivery Pending</v>
          </cell>
          <cell r="M25">
            <v>45896</v>
          </cell>
          <cell r="N25">
            <v>19000</v>
          </cell>
          <cell r="O25">
            <v>3420</v>
          </cell>
          <cell r="P25">
            <v>22420</v>
          </cell>
          <cell r="Q25" t="str">
            <v>SSS/2025-26/0102</v>
          </cell>
          <cell r="R25">
            <v>45904</v>
          </cell>
          <cell r="S25" t="str">
            <v>UNV</v>
          </cell>
          <cell r="T25" t="str">
            <v>UNV</v>
          </cell>
          <cell r="U25" t="str">
            <v>NA</v>
          </cell>
        </row>
        <row r="26">
          <cell r="E26">
            <v>2116</v>
          </cell>
          <cell r="F26" t="str">
            <v>ICICI</v>
          </cell>
          <cell r="G26" t="str">
            <v>Icici Bank Atm Shop No.A-1, Premsagar Housing Society, Opp Axis Bank, Chinchwad, Pune - 411033</v>
          </cell>
          <cell r="H26" t="str">
            <v>Maharashtra</v>
          </cell>
          <cell r="I26" t="str">
            <v>Plot no 123, Sector 56 Phase IV, Industrial estate, kundli sonipat, sonipat, Haryana, 131028</v>
          </cell>
          <cell r="J26" t="str">
            <v>Haryana</v>
          </cell>
          <cell r="K26" t="str">
            <v>ATM &amp; Assets</v>
          </cell>
          <cell r="L26" t="str">
            <v>Delivered</v>
          </cell>
          <cell r="M26">
            <v>45896</v>
          </cell>
          <cell r="N26">
            <v>22000</v>
          </cell>
          <cell r="O26">
            <v>3960</v>
          </cell>
          <cell r="P26">
            <v>25960</v>
          </cell>
          <cell r="Q26" t="str">
            <v>SSS/2025-26/093</v>
          </cell>
          <cell r="R26">
            <v>45904</v>
          </cell>
          <cell r="S26" t="str">
            <v>Hitachi</v>
          </cell>
          <cell r="T26" t="str">
            <v>Bill not submitted yet it will be share with client in Sep</v>
          </cell>
          <cell r="U26">
            <v>28500</v>
          </cell>
        </row>
        <row r="27">
          <cell r="E27">
            <v>2126</v>
          </cell>
          <cell r="F27" t="str">
            <v>WLA</v>
          </cell>
          <cell r="G27" t="str">
            <v>SABARDAIRY, CHILODA ROAD HIMMATNAGAR</v>
          </cell>
          <cell r="H27" t="str">
            <v>Gujarat</v>
          </cell>
          <cell r="I27" t="str">
            <v>Kishore Bagai Transport, l-2 Jai Mata Di Compound , 2nd left next to Hetvi Textile, Kalher Bhiwandi, Maharashtra - 421302</v>
          </cell>
          <cell r="J27" t="str">
            <v>Maharashtra</v>
          </cell>
          <cell r="K27" t="str">
            <v>ATM &amp; Assets</v>
          </cell>
          <cell r="L27" t="str">
            <v>Visit Cancellation</v>
          </cell>
          <cell r="M27">
            <v>45896</v>
          </cell>
          <cell r="N27">
            <v>2000</v>
          </cell>
          <cell r="O27">
            <v>360</v>
          </cell>
          <cell r="P27">
            <v>2360</v>
          </cell>
          <cell r="Q27" t="str">
            <v>SSS/2025-26/0101</v>
          </cell>
          <cell r="R27">
            <v>45904</v>
          </cell>
          <cell r="S27" t="str">
            <v>NCR-Umesh</v>
          </cell>
          <cell r="T27" t="str">
            <v>Bill not submitted yet it will be share with client in Sep</v>
          </cell>
          <cell r="U27">
            <v>1200</v>
          </cell>
        </row>
        <row r="28">
          <cell r="E28">
            <v>2133</v>
          </cell>
          <cell r="F28" t="str">
            <v>WLA</v>
          </cell>
          <cell r="G28" t="str">
            <v>SHOP N0-1,BALAUR ROAD,KILLA MOHALLA,BAHADURGARH</v>
          </cell>
          <cell r="H28" t="str">
            <v>Haryana</v>
          </cell>
          <cell r="I28" t="str">
            <v>Plot no 123, Sector 56 Phase IV, Industrial estate, kundli sonipat, sonipat, Haryana, 131028</v>
          </cell>
          <cell r="J28" t="str">
            <v>Haryana</v>
          </cell>
          <cell r="K28" t="str">
            <v>ATM &amp; Assets</v>
          </cell>
          <cell r="L28" t="str">
            <v>Picked up/ Delivery Pending</v>
          </cell>
          <cell r="M28">
            <v>45897</v>
          </cell>
          <cell r="N28">
            <v>15000</v>
          </cell>
          <cell r="O28">
            <v>2700</v>
          </cell>
          <cell r="P28">
            <v>17700</v>
          </cell>
          <cell r="Q28" t="str">
            <v>SSS/2025-26/0100</v>
          </cell>
          <cell r="R28">
            <v>45904</v>
          </cell>
          <cell r="S28" t="str">
            <v>NCR-Umesh</v>
          </cell>
          <cell r="T28" t="str">
            <v>Bill not submitted yet it will be share with client in Sep</v>
          </cell>
          <cell r="U28">
            <v>18100</v>
          </cell>
        </row>
        <row r="29">
          <cell r="E29">
            <v>2126</v>
          </cell>
          <cell r="F29" t="str">
            <v>WLA</v>
          </cell>
          <cell r="G29" t="str">
            <v>SABARDAIRY, CHILODA ROAD HIMMATNAGAR</v>
          </cell>
          <cell r="H29" t="str">
            <v>Gujarat</v>
          </cell>
          <cell r="I29" t="str">
            <v>Kishore Bagai Transport, l-2 Jai Mata Di Compound , 2nd left next to Hetvi Textile, Kalher Bhiwandi, Maharashtra - 421302</v>
          </cell>
          <cell r="J29" t="str">
            <v>Maharashtra</v>
          </cell>
          <cell r="K29" t="str">
            <v>ATM &amp; Assets</v>
          </cell>
          <cell r="L29" t="str">
            <v>Visit Cancellation</v>
          </cell>
          <cell r="M29">
            <v>45898</v>
          </cell>
          <cell r="N29">
            <v>2000</v>
          </cell>
          <cell r="O29">
            <v>360</v>
          </cell>
          <cell r="P29">
            <v>2360</v>
          </cell>
          <cell r="Q29" t="str">
            <v>SSS/2025-26/0101</v>
          </cell>
          <cell r="R29">
            <v>45904</v>
          </cell>
          <cell r="S29" t="str">
            <v>NCR-Umesh</v>
          </cell>
          <cell r="T29" t="str">
            <v>Bill not submitted yet it will be share with client in Sep</v>
          </cell>
          <cell r="U29">
            <v>1200</v>
          </cell>
        </row>
        <row r="30">
          <cell r="E30">
            <v>2129</v>
          </cell>
          <cell r="F30" t="str">
            <v>WLA</v>
          </cell>
          <cell r="G30" t="str">
            <v>At- Vagda,Near Bus Stand , Vadgam Road,Vagda,Palanpur</v>
          </cell>
          <cell r="H30" t="str">
            <v>Gujarat</v>
          </cell>
          <cell r="I30" t="str">
            <v>Plot no 123, Sector 56 Phase IV, Industrial estate, kundli sonipat, sonipat, Haryana, 131028</v>
          </cell>
          <cell r="J30" t="str">
            <v>Haryana</v>
          </cell>
          <cell r="K30" t="str">
            <v>ATM &amp; Assets</v>
          </cell>
          <cell r="L30" t="str">
            <v>Picked up/ Delivery Pending</v>
          </cell>
          <cell r="M30">
            <v>45898</v>
          </cell>
          <cell r="N30">
            <v>22000</v>
          </cell>
          <cell r="O30">
            <v>3960</v>
          </cell>
          <cell r="P30">
            <v>25960</v>
          </cell>
          <cell r="Q30" t="str">
            <v>SSS/2025-26/094</v>
          </cell>
          <cell r="R30">
            <v>45904</v>
          </cell>
          <cell r="S30" t="str">
            <v>Hitachi</v>
          </cell>
          <cell r="T30" t="str">
            <v>Bill not submitted yet it will be share with client in Sep</v>
          </cell>
          <cell r="U30">
            <v>27000</v>
          </cell>
        </row>
        <row r="31">
          <cell r="E31">
            <v>2136</v>
          </cell>
          <cell r="F31" t="str">
            <v>WLA</v>
          </cell>
          <cell r="G31" t="str">
            <v>Bus Stand, Shivraj Colony Diggi Road Madrampura Bypass Madrampura Saganer Jaipur, Rajasthan 302029</v>
          </cell>
          <cell r="H31" t="str">
            <v>Rajasthan</v>
          </cell>
          <cell r="I31" t="str">
            <v>Plot no 123, Sector 56 Phase IV, Industrial estate, kundli sonipat, sonipat, Haryana, 131028</v>
          </cell>
          <cell r="J31" t="str">
            <v>Haryana</v>
          </cell>
          <cell r="K31" t="str">
            <v>ATM &amp; Assets</v>
          </cell>
          <cell r="L31" t="str">
            <v>Picked up/ Delivery Pending</v>
          </cell>
          <cell r="M31">
            <v>45898</v>
          </cell>
          <cell r="N31">
            <v>19000</v>
          </cell>
          <cell r="O31">
            <v>3420</v>
          </cell>
          <cell r="P31">
            <v>22420</v>
          </cell>
          <cell r="Q31" t="str">
            <v>SSS/2025-26/0100</v>
          </cell>
          <cell r="R31">
            <v>45904</v>
          </cell>
          <cell r="S31" t="str">
            <v>NCR-Umesh</v>
          </cell>
          <cell r="T31" t="str">
            <v>Bill not submitted yet it will be share with client in Sep</v>
          </cell>
          <cell r="U31">
            <v>20400</v>
          </cell>
        </row>
        <row r="32">
          <cell r="E32">
            <v>2137</v>
          </cell>
          <cell r="F32" t="str">
            <v>WLA</v>
          </cell>
          <cell r="G32" t="str">
            <v>C/O Kaniram,Sh-37,Near Bypass Main Circle,Baragaon,V.P.O-Baragaon,Distt-Jhunjhunu,Rajasthan-333021</v>
          </cell>
          <cell r="H32" t="str">
            <v>Rajasthan</v>
          </cell>
          <cell r="I32" t="str">
            <v>Plot no 123, Sector 56 Phase IV, Industrial estate, kundli sonipat, sonipat, Haryana, 131028</v>
          </cell>
          <cell r="J32" t="str">
            <v>Haryana</v>
          </cell>
          <cell r="K32" t="str">
            <v>ATM &amp; Assets</v>
          </cell>
          <cell r="L32" t="str">
            <v>Picked up/ Delivery Pending</v>
          </cell>
          <cell r="M32">
            <v>45898</v>
          </cell>
          <cell r="N32">
            <v>20000</v>
          </cell>
          <cell r="O32">
            <v>3600</v>
          </cell>
          <cell r="P32">
            <v>23600</v>
          </cell>
          <cell r="Q32" t="str">
            <v>SSS/2025-26/0100</v>
          </cell>
          <cell r="R32">
            <v>45904</v>
          </cell>
          <cell r="S32" t="str">
            <v>NCR-Umesh</v>
          </cell>
          <cell r="T32" t="str">
            <v>Bill not submitted yet it will be share with client in Sep</v>
          </cell>
          <cell r="U32">
            <v>20400</v>
          </cell>
        </row>
        <row r="33">
          <cell r="E33">
            <v>2146</v>
          </cell>
          <cell r="F33" t="str">
            <v>WLA</v>
          </cell>
          <cell r="G33" t="str">
            <v>Main Baran-Kota Road, Near Hanuman Ji Temple, Nayanohra ,Kota</v>
          </cell>
          <cell r="H33" t="str">
            <v>Rajasthan</v>
          </cell>
          <cell r="I33" t="str">
            <v>Plot no 123, Sector 56 Phase IV, Industrial estate, kundli sonipat, sonipat, Haryana, 131028</v>
          </cell>
          <cell r="J33" t="str">
            <v>Haryana</v>
          </cell>
          <cell r="K33" t="str">
            <v>ATM &amp; Assets</v>
          </cell>
          <cell r="L33" t="str">
            <v>Picked up/ Delivery Pending</v>
          </cell>
          <cell r="M33">
            <v>45899</v>
          </cell>
          <cell r="N33">
            <v>19000</v>
          </cell>
          <cell r="O33">
            <v>3420</v>
          </cell>
          <cell r="P33">
            <v>22420</v>
          </cell>
          <cell r="Q33" t="str">
            <v>SSS/2025-26/0100</v>
          </cell>
          <cell r="R33">
            <v>45904</v>
          </cell>
          <cell r="S33" t="str">
            <v>NCR-Umesh</v>
          </cell>
          <cell r="T33" t="str">
            <v>Bill not submitted yet it will be share with client in Sep</v>
          </cell>
          <cell r="U33">
            <v>20400</v>
          </cell>
        </row>
        <row r="34">
          <cell r="E34">
            <v>2145</v>
          </cell>
          <cell r="F34" t="str">
            <v>WLA</v>
          </cell>
          <cell r="G34" t="str">
            <v>Shop No 1, Plot No 2, Yogiraj Nagar, Coral Park, Nayanohra, Kota - 324001</v>
          </cell>
          <cell r="H34" t="str">
            <v>Rajasthan</v>
          </cell>
          <cell r="I34" t="str">
            <v>Plot no 123, Sector 56 Phase IV, Industrial estate, kundli sonipat, sonipat, Haryana, 131028</v>
          </cell>
          <cell r="J34" t="str">
            <v>Haryana</v>
          </cell>
          <cell r="K34" t="str">
            <v>ATM &amp; Assets</v>
          </cell>
          <cell r="L34" t="str">
            <v>Picked up/ Delivery Pending</v>
          </cell>
          <cell r="M34">
            <v>45899</v>
          </cell>
          <cell r="N34">
            <v>19000</v>
          </cell>
          <cell r="O34">
            <v>3420</v>
          </cell>
          <cell r="P34">
            <v>22420</v>
          </cell>
          <cell r="Q34" t="str">
            <v>SSS/2025-26/0100</v>
          </cell>
          <cell r="R34">
            <v>45904</v>
          </cell>
          <cell r="S34" t="str">
            <v>NCR-Umesh</v>
          </cell>
          <cell r="T34" t="str">
            <v>Bill not submitted yet it will be share with client in Sep</v>
          </cell>
          <cell r="U34">
            <v>20400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C133"/>
  <sheetViews>
    <sheetView tabSelected="1" workbookViewId="0">
      <pane ySplit="1" topLeftCell="A2" activePane="bottomLeft" state="frozen"/>
      <selection activeCell="AB1" sqref="AB1"/>
      <selection pane="bottomLeft" activeCell="H6" sqref="H6"/>
    </sheetView>
  </sheetViews>
  <sheetFormatPr defaultRowHeight="15" x14ac:dyDescent="0.25"/>
  <cols>
    <col min="3" max="3" width="13.7109375" customWidth="1"/>
    <col min="14" max="14" width="12.28515625" bestFit="1" customWidth="1"/>
    <col min="18" max="18" width="13.85546875" customWidth="1"/>
    <col min="21" max="21" width="10.28515625" bestFit="1" customWidth="1"/>
    <col min="22" max="22" width="15.42578125" customWidth="1"/>
    <col min="24" max="24" width="11.140625" customWidth="1"/>
    <col min="26" max="26" width="11.140625" customWidth="1"/>
    <col min="45" max="46" width="14.140625" customWidth="1"/>
    <col min="51" max="51" width="11.140625" customWidth="1"/>
  </cols>
  <sheetData>
    <row r="1" spans="1:55" ht="96" x14ac:dyDescent="0.25">
      <c r="A1" s="1" t="s">
        <v>0</v>
      </c>
      <c r="B1" s="1" t="s">
        <v>575</v>
      </c>
      <c r="C1" s="1" t="s">
        <v>3</v>
      </c>
      <c r="D1" s="1" t="s">
        <v>2</v>
      </c>
      <c r="E1" s="1" t="s">
        <v>576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577</v>
      </c>
      <c r="K1" s="1" t="s">
        <v>13</v>
      </c>
      <c r="L1" s="1" t="s">
        <v>578</v>
      </c>
      <c r="M1" s="1" t="s">
        <v>579</v>
      </c>
      <c r="N1" s="3" t="s">
        <v>25</v>
      </c>
      <c r="O1" s="12" t="s">
        <v>144</v>
      </c>
      <c r="P1" s="12" t="s">
        <v>145</v>
      </c>
      <c r="Q1" s="12" t="s">
        <v>153</v>
      </c>
      <c r="R1" s="12" t="s">
        <v>159</v>
      </c>
      <c r="S1" s="12" t="s">
        <v>157</v>
      </c>
      <c r="T1" s="5" t="s">
        <v>28</v>
      </c>
      <c r="U1" s="2" t="s">
        <v>14</v>
      </c>
      <c r="V1" s="1" t="s">
        <v>16</v>
      </c>
      <c r="W1" s="2" t="s">
        <v>1</v>
      </c>
      <c r="X1" s="1" t="s">
        <v>580</v>
      </c>
      <c r="Y1" s="1" t="s">
        <v>581</v>
      </c>
      <c r="Z1" s="1" t="s">
        <v>581</v>
      </c>
      <c r="AA1" s="1" t="s">
        <v>581</v>
      </c>
      <c r="AB1" s="1" t="s">
        <v>582</v>
      </c>
      <c r="AC1" s="1" t="s">
        <v>583</v>
      </c>
      <c r="AD1" s="1" t="s">
        <v>584</v>
      </c>
      <c r="AE1" s="2" t="s">
        <v>15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26</v>
      </c>
      <c r="AO1" s="4" t="s">
        <v>27</v>
      </c>
      <c r="AP1" s="13" t="s">
        <v>146</v>
      </c>
      <c r="AQ1" s="12" t="s">
        <v>147</v>
      </c>
      <c r="AR1" s="12" t="s">
        <v>26</v>
      </c>
      <c r="AS1" s="12" t="s">
        <v>160</v>
      </c>
      <c r="AT1" s="12" t="s">
        <v>26</v>
      </c>
      <c r="AU1" s="12" t="s">
        <v>217</v>
      </c>
      <c r="AV1" s="12" t="s">
        <v>49</v>
      </c>
      <c r="AW1" s="12" t="s">
        <v>218</v>
      </c>
      <c r="AX1" s="1" t="s">
        <v>5</v>
      </c>
      <c r="AY1" s="1" t="s">
        <v>4</v>
      </c>
      <c r="AZ1" s="1" t="s">
        <v>7</v>
      </c>
      <c r="BA1" s="1" t="s">
        <v>9</v>
      </c>
      <c r="BB1" s="1" t="s">
        <v>11</v>
      </c>
      <c r="BC1" s="1" t="s">
        <v>13</v>
      </c>
    </row>
    <row r="2" spans="1:55" x14ac:dyDescent="0.25">
      <c r="A2" s="6">
        <f t="shared" ref="A2:A25" si="0">ROW()-1</f>
        <v>1</v>
      </c>
      <c r="B2" s="9">
        <v>45748</v>
      </c>
      <c r="C2" s="8" t="s">
        <v>29</v>
      </c>
      <c r="D2" s="8">
        <v>1406</v>
      </c>
      <c r="E2" s="8"/>
      <c r="F2" s="8" t="s">
        <v>51</v>
      </c>
      <c r="G2" s="8" t="s">
        <v>53</v>
      </c>
      <c r="H2" s="8" t="s">
        <v>91</v>
      </c>
      <c r="I2" s="8" t="s">
        <v>53</v>
      </c>
      <c r="J2" s="8" t="s">
        <v>49</v>
      </c>
      <c r="K2" s="8" t="s">
        <v>134</v>
      </c>
      <c r="L2" s="8" t="s">
        <v>113</v>
      </c>
      <c r="M2" s="8" t="s">
        <v>135</v>
      </c>
      <c r="N2" s="8">
        <v>13000</v>
      </c>
      <c r="O2" s="14">
        <v>0</v>
      </c>
      <c r="P2" s="14">
        <v>0</v>
      </c>
      <c r="Q2" s="14">
        <v>13000</v>
      </c>
      <c r="R2" s="11">
        <v>11300</v>
      </c>
      <c r="S2" s="15" t="s">
        <v>148</v>
      </c>
      <c r="T2" s="8"/>
      <c r="U2" s="7">
        <v>45739</v>
      </c>
      <c r="V2" s="7" t="s">
        <v>138</v>
      </c>
      <c r="W2" s="7">
        <v>45734</v>
      </c>
      <c r="X2" s="8" t="s">
        <v>50</v>
      </c>
      <c r="Y2" s="8"/>
      <c r="Z2" s="8"/>
      <c r="AA2" s="8"/>
      <c r="AB2" s="8"/>
      <c r="AC2" s="8"/>
      <c r="AD2" s="8"/>
      <c r="AE2" s="7">
        <v>45735</v>
      </c>
      <c r="AF2" s="8">
        <v>4000</v>
      </c>
      <c r="AG2" s="8">
        <v>2300</v>
      </c>
      <c r="AH2" s="8">
        <v>2000</v>
      </c>
      <c r="AI2" s="8">
        <v>700</v>
      </c>
      <c r="AJ2" s="8">
        <v>1500</v>
      </c>
      <c r="AK2" s="8">
        <v>2500</v>
      </c>
      <c r="AL2" s="8"/>
      <c r="AM2" s="8"/>
      <c r="AN2" s="8"/>
      <c r="AO2" s="8"/>
      <c r="AP2" s="14" t="s">
        <v>151</v>
      </c>
      <c r="AQ2" s="15" t="s">
        <v>148</v>
      </c>
      <c r="AR2" s="11"/>
      <c r="AS2" s="11">
        <f>N2-R2</f>
        <v>1700</v>
      </c>
      <c r="AT2" s="11"/>
      <c r="AU2" s="11"/>
      <c r="AV2" s="11"/>
      <c r="AW2" s="11"/>
      <c r="AX2" s="8" t="s">
        <v>131</v>
      </c>
      <c r="AY2" s="8" t="s">
        <v>116</v>
      </c>
      <c r="AZ2" s="8" t="s">
        <v>52</v>
      </c>
      <c r="BA2" s="8" t="s">
        <v>131</v>
      </c>
      <c r="BB2" s="8" t="s">
        <v>92</v>
      </c>
      <c r="BC2" s="8" t="s">
        <v>113</v>
      </c>
    </row>
    <row r="3" spans="1:55" x14ac:dyDescent="0.25">
      <c r="A3" s="6">
        <f t="shared" si="0"/>
        <v>2</v>
      </c>
      <c r="B3" s="9">
        <v>45748</v>
      </c>
      <c r="C3" s="8" t="s">
        <v>30</v>
      </c>
      <c r="D3" s="8">
        <v>1413</v>
      </c>
      <c r="E3" s="8"/>
      <c r="F3" s="8" t="s">
        <v>54</v>
      </c>
      <c r="G3" s="8" t="s">
        <v>56</v>
      </c>
      <c r="H3" s="8" t="s">
        <v>78</v>
      </c>
      <c r="I3" s="8" t="s">
        <v>56</v>
      </c>
      <c r="J3" s="8" t="s">
        <v>49</v>
      </c>
      <c r="K3" s="8" t="s">
        <v>132</v>
      </c>
      <c r="L3" s="8" t="s">
        <v>113</v>
      </c>
      <c r="M3" s="8" t="s">
        <v>135</v>
      </c>
      <c r="N3" s="8">
        <v>18600</v>
      </c>
      <c r="O3" s="14">
        <v>0</v>
      </c>
      <c r="P3" s="14">
        <v>0</v>
      </c>
      <c r="Q3" s="14">
        <v>18600</v>
      </c>
      <c r="R3" s="11">
        <v>16000</v>
      </c>
      <c r="S3" s="15" t="s">
        <v>148</v>
      </c>
      <c r="T3" s="8"/>
      <c r="U3" s="7">
        <v>45740</v>
      </c>
      <c r="V3" s="7" t="s">
        <v>138</v>
      </c>
      <c r="W3" s="7">
        <v>45736</v>
      </c>
      <c r="X3" s="8" t="s">
        <v>50</v>
      </c>
      <c r="Y3" s="8"/>
      <c r="Z3" s="8"/>
      <c r="AA3" s="8"/>
      <c r="AB3" s="8"/>
      <c r="AC3" s="8"/>
      <c r="AD3" s="8"/>
      <c r="AE3" s="7">
        <v>45745</v>
      </c>
      <c r="AF3" s="8">
        <v>5400</v>
      </c>
      <c r="AG3" s="8">
        <v>6500</v>
      </c>
      <c r="AH3" s="8">
        <v>2000</v>
      </c>
      <c r="AI3" s="8">
        <v>700</v>
      </c>
      <c r="AJ3" s="8">
        <v>1500</v>
      </c>
      <c r="AK3" s="8">
        <v>2500</v>
      </c>
      <c r="AL3" s="8"/>
      <c r="AM3" s="8"/>
      <c r="AN3" s="8"/>
      <c r="AO3" s="8"/>
      <c r="AP3" s="14" t="s">
        <v>152</v>
      </c>
      <c r="AQ3" s="15" t="s">
        <v>148</v>
      </c>
      <c r="AR3" s="11"/>
      <c r="AS3" s="11">
        <f>N3-R3</f>
        <v>2600</v>
      </c>
      <c r="AT3" s="11"/>
      <c r="AU3" s="11"/>
      <c r="AV3" s="11"/>
      <c r="AW3" s="11"/>
      <c r="AX3" s="8" t="s">
        <v>131</v>
      </c>
      <c r="AY3" s="8" t="s">
        <v>117</v>
      </c>
      <c r="AZ3" s="8" t="s">
        <v>55</v>
      </c>
      <c r="BA3" s="8" t="s">
        <v>131</v>
      </c>
      <c r="BB3" s="8" t="s">
        <v>93</v>
      </c>
      <c r="BC3" s="8" t="s">
        <v>113</v>
      </c>
    </row>
    <row r="4" spans="1:55" x14ac:dyDescent="0.25">
      <c r="A4" s="6">
        <f t="shared" si="0"/>
        <v>3</v>
      </c>
      <c r="B4" s="9">
        <v>45748</v>
      </c>
      <c r="C4" s="8" t="s">
        <v>31</v>
      </c>
      <c r="D4" s="8">
        <v>1419</v>
      </c>
      <c r="E4" s="8"/>
      <c r="F4" s="8" t="s">
        <v>57</v>
      </c>
      <c r="G4" s="8" t="s">
        <v>53</v>
      </c>
      <c r="H4" s="8" t="s">
        <v>91</v>
      </c>
      <c r="I4" s="8" t="s">
        <v>53</v>
      </c>
      <c r="J4" s="8" t="s">
        <v>49</v>
      </c>
      <c r="K4" s="8" t="s">
        <v>134</v>
      </c>
      <c r="L4" s="8" t="s">
        <v>113</v>
      </c>
      <c r="M4" s="8" t="s">
        <v>136</v>
      </c>
      <c r="N4" s="8">
        <v>13000</v>
      </c>
      <c r="O4" s="14">
        <v>0</v>
      </c>
      <c r="P4" s="14">
        <v>0</v>
      </c>
      <c r="Q4" s="14">
        <v>13000</v>
      </c>
      <c r="R4" s="11">
        <v>11300</v>
      </c>
      <c r="S4" s="15" t="s">
        <v>148</v>
      </c>
      <c r="T4" s="8"/>
      <c r="U4" s="7">
        <v>45748</v>
      </c>
      <c r="V4" s="8" t="s">
        <v>138</v>
      </c>
      <c r="W4" s="7">
        <v>45741</v>
      </c>
      <c r="X4" s="8" t="s">
        <v>50</v>
      </c>
      <c r="Y4" s="8"/>
      <c r="Z4" s="8"/>
      <c r="AA4" s="8"/>
      <c r="AB4" s="8"/>
      <c r="AC4" s="8"/>
      <c r="AD4" s="8"/>
      <c r="AE4" s="7">
        <v>45750</v>
      </c>
      <c r="AF4" s="8">
        <v>4000</v>
      </c>
      <c r="AG4" s="8">
        <v>2300</v>
      </c>
      <c r="AH4" s="8">
        <v>2000</v>
      </c>
      <c r="AI4" s="8">
        <v>700</v>
      </c>
      <c r="AJ4" s="8">
        <v>1500</v>
      </c>
      <c r="AK4" s="8">
        <v>2500</v>
      </c>
      <c r="AL4" s="8"/>
      <c r="AM4" s="8"/>
      <c r="AN4" s="8"/>
      <c r="AO4" s="8"/>
      <c r="AP4" s="14" t="s">
        <v>152</v>
      </c>
      <c r="AQ4" s="15" t="s">
        <v>148</v>
      </c>
      <c r="AR4" s="11"/>
      <c r="AS4" s="11">
        <f>N4-R4</f>
        <v>1700</v>
      </c>
      <c r="AT4" s="11"/>
      <c r="AU4" s="11"/>
      <c r="AV4" s="11"/>
      <c r="AW4" s="11"/>
      <c r="AX4" s="8" t="s">
        <v>131</v>
      </c>
      <c r="AY4" s="8" t="s">
        <v>118</v>
      </c>
      <c r="AZ4" s="8" t="s">
        <v>58</v>
      </c>
      <c r="BA4" s="8" t="s">
        <v>131</v>
      </c>
      <c r="BB4" s="8" t="s">
        <v>94</v>
      </c>
      <c r="BC4" s="8" t="s">
        <v>113</v>
      </c>
    </row>
    <row r="5" spans="1:55" x14ac:dyDescent="0.25">
      <c r="A5" s="6">
        <f t="shared" si="0"/>
        <v>4</v>
      </c>
      <c r="B5" s="9">
        <v>45748</v>
      </c>
      <c r="C5" s="8" t="s">
        <v>32</v>
      </c>
      <c r="D5" s="8">
        <v>1425</v>
      </c>
      <c r="E5" s="8"/>
      <c r="F5" s="8" t="s">
        <v>59</v>
      </c>
      <c r="G5" s="8" t="s">
        <v>53</v>
      </c>
      <c r="H5" s="8" t="s">
        <v>95</v>
      </c>
      <c r="I5" s="8" t="s">
        <v>53</v>
      </c>
      <c r="J5" s="8" t="s">
        <v>49</v>
      </c>
      <c r="K5" s="8" t="s">
        <v>132</v>
      </c>
      <c r="L5" s="8" t="s">
        <v>114</v>
      </c>
      <c r="M5" s="8" t="s">
        <v>137</v>
      </c>
      <c r="N5" s="8">
        <v>13400</v>
      </c>
      <c r="O5" s="14">
        <v>0</v>
      </c>
      <c r="P5" s="14">
        <v>0</v>
      </c>
      <c r="Q5" s="14">
        <v>13400</v>
      </c>
      <c r="R5" s="11">
        <v>8100</v>
      </c>
      <c r="S5" s="15" t="s">
        <v>148</v>
      </c>
      <c r="T5" s="8"/>
      <c r="U5" s="7">
        <v>45747</v>
      </c>
      <c r="V5" s="7" t="s">
        <v>138</v>
      </c>
      <c r="W5" s="7">
        <v>45742</v>
      </c>
      <c r="X5" s="8" t="s">
        <v>50</v>
      </c>
      <c r="Y5" s="8"/>
      <c r="Z5" s="8"/>
      <c r="AA5" s="8"/>
      <c r="AB5" s="8"/>
      <c r="AC5" s="8"/>
      <c r="AD5" s="8"/>
      <c r="AE5" s="7">
        <v>45747</v>
      </c>
      <c r="AF5" s="8">
        <v>5400</v>
      </c>
      <c r="AG5" s="8">
        <v>6500</v>
      </c>
      <c r="AH5" s="8"/>
      <c r="AI5" s="8"/>
      <c r="AJ5" s="8">
        <v>1500</v>
      </c>
      <c r="AK5" s="8"/>
      <c r="AL5" s="8"/>
      <c r="AM5" s="8"/>
      <c r="AN5" s="8"/>
      <c r="AO5" s="8"/>
      <c r="AP5" s="14" t="s">
        <v>152</v>
      </c>
      <c r="AQ5" s="15" t="s">
        <v>148</v>
      </c>
      <c r="AR5" s="11"/>
      <c r="AS5" s="11">
        <f>N5-R5</f>
        <v>5300</v>
      </c>
      <c r="AT5" s="11"/>
      <c r="AU5" s="11"/>
      <c r="AV5" s="11"/>
      <c r="AW5" s="11"/>
      <c r="AX5" s="8" t="s">
        <v>131</v>
      </c>
      <c r="AY5" s="8">
        <v>60812749</v>
      </c>
      <c r="AZ5" s="8" t="s">
        <v>60</v>
      </c>
      <c r="BA5" s="8" t="s">
        <v>131</v>
      </c>
      <c r="BB5" s="8" t="s">
        <v>96</v>
      </c>
      <c r="BC5" s="8" t="s">
        <v>114</v>
      </c>
    </row>
    <row r="6" spans="1:55" x14ac:dyDescent="0.25">
      <c r="A6" s="6">
        <f t="shared" si="0"/>
        <v>5</v>
      </c>
      <c r="B6" s="9">
        <v>45748</v>
      </c>
      <c r="C6" s="8" t="s">
        <v>33</v>
      </c>
      <c r="D6" s="8">
        <v>1427</v>
      </c>
      <c r="E6" s="8"/>
      <c r="F6" s="8" t="s">
        <v>61</v>
      </c>
      <c r="G6" s="8" t="s">
        <v>62</v>
      </c>
      <c r="H6" s="8" t="s">
        <v>78</v>
      </c>
      <c r="I6" s="8" t="s">
        <v>56</v>
      </c>
      <c r="J6" s="8" t="s">
        <v>49</v>
      </c>
      <c r="K6" s="8" t="s">
        <v>133</v>
      </c>
      <c r="L6" s="8" t="s">
        <v>113</v>
      </c>
      <c r="M6" s="8" t="s">
        <v>137</v>
      </c>
      <c r="N6" s="8">
        <v>11500</v>
      </c>
      <c r="O6" s="14">
        <v>0</v>
      </c>
      <c r="P6" s="14">
        <v>0</v>
      </c>
      <c r="Q6" s="14">
        <v>11500</v>
      </c>
      <c r="R6" s="11">
        <v>7800</v>
      </c>
      <c r="S6" s="15" t="s">
        <v>148</v>
      </c>
      <c r="T6" s="8"/>
      <c r="U6" s="7">
        <v>45747</v>
      </c>
      <c r="V6" s="8" t="s">
        <v>138</v>
      </c>
      <c r="W6" s="7">
        <v>45742</v>
      </c>
      <c r="X6" s="8" t="s">
        <v>50</v>
      </c>
      <c r="Y6" s="8"/>
      <c r="Z6" s="8"/>
      <c r="AA6" s="8"/>
      <c r="AB6" s="8"/>
      <c r="AC6" s="8"/>
      <c r="AD6" s="8"/>
      <c r="AE6" s="7">
        <v>45763</v>
      </c>
      <c r="AF6" s="8">
        <v>7700</v>
      </c>
      <c r="AG6" s="8">
        <v>2300</v>
      </c>
      <c r="AH6" s="8"/>
      <c r="AI6" s="8"/>
      <c r="AJ6" s="8">
        <v>1500</v>
      </c>
      <c r="AK6" s="8"/>
      <c r="AL6" s="8"/>
      <c r="AM6" s="8"/>
      <c r="AN6" s="8"/>
      <c r="AO6" s="8"/>
      <c r="AP6" s="14" t="s">
        <v>152</v>
      </c>
      <c r="AQ6" s="15" t="s">
        <v>148</v>
      </c>
      <c r="AR6" s="11"/>
      <c r="AS6" s="11">
        <f>N6-R6</f>
        <v>3700</v>
      </c>
      <c r="AT6" s="11"/>
      <c r="AU6" s="11"/>
      <c r="AV6" s="11"/>
      <c r="AW6" s="11"/>
      <c r="AX6" s="8" t="s">
        <v>131</v>
      </c>
      <c r="AY6" s="8" t="s">
        <v>119</v>
      </c>
      <c r="AZ6" s="8" t="s">
        <v>62</v>
      </c>
      <c r="BA6" s="8" t="s">
        <v>131</v>
      </c>
      <c r="BB6" s="8" t="s">
        <v>79</v>
      </c>
      <c r="BC6" s="8" t="s">
        <v>113</v>
      </c>
    </row>
    <row r="7" spans="1:55" x14ac:dyDescent="0.25">
      <c r="A7" s="6">
        <f t="shared" si="0"/>
        <v>6</v>
      </c>
      <c r="B7" s="9">
        <v>45748</v>
      </c>
      <c r="C7" s="8" t="s">
        <v>34</v>
      </c>
      <c r="D7" s="8">
        <v>1428</v>
      </c>
      <c r="E7" s="8"/>
      <c r="F7" s="8" t="s">
        <v>63</v>
      </c>
      <c r="G7" s="8" t="s">
        <v>62</v>
      </c>
      <c r="H7" s="8" t="s">
        <v>78</v>
      </c>
      <c r="I7" s="8" t="s">
        <v>56</v>
      </c>
      <c r="J7" s="8" t="s">
        <v>49</v>
      </c>
      <c r="K7" s="8" t="s">
        <v>133</v>
      </c>
      <c r="L7" s="8" t="s">
        <v>113</v>
      </c>
      <c r="M7" s="8" t="s">
        <v>137</v>
      </c>
      <c r="N7" s="8">
        <v>11500</v>
      </c>
      <c r="O7" s="14">
        <v>0</v>
      </c>
      <c r="P7" s="14">
        <v>0</v>
      </c>
      <c r="Q7" s="14">
        <v>11500</v>
      </c>
      <c r="R7" s="11">
        <v>6000</v>
      </c>
      <c r="S7" s="15" t="s">
        <v>148</v>
      </c>
      <c r="T7" s="8"/>
      <c r="U7" s="7">
        <v>45747</v>
      </c>
      <c r="V7" s="8" t="s">
        <v>138</v>
      </c>
      <c r="W7" s="7">
        <v>45742</v>
      </c>
      <c r="X7" s="8" t="s">
        <v>50</v>
      </c>
      <c r="Y7" s="8"/>
      <c r="Z7" s="8"/>
      <c r="AA7" s="8"/>
      <c r="AB7" s="8"/>
      <c r="AC7" s="8"/>
      <c r="AD7" s="8"/>
      <c r="AE7" s="7">
        <v>45749</v>
      </c>
      <c r="AF7" s="8">
        <v>7700</v>
      </c>
      <c r="AG7" s="8">
        <v>2300</v>
      </c>
      <c r="AH7" s="8"/>
      <c r="AI7" s="8"/>
      <c r="AJ7" s="8">
        <v>1500</v>
      </c>
      <c r="AK7" s="8"/>
      <c r="AL7" s="8"/>
      <c r="AM7" s="8"/>
      <c r="AN7" s="8"/>
      <c r="AO7" s="8"/>
      <c r="AP7" s="14" t="s">
        <v>152</v>
      </c>
      <c r="AQ7" s="15" t="s">
        <v>148</v>
      </c>
      <c r="AR7" s="11"/>
      <c r="AS7" s="11">
        <f>N7-R7</f>
        <v>5500</v>
      </c>
      <c r="AT7" s="11"/>
      <c r="AU7" s="11"/>
      <c r="AV7" s="11"/>
      <c r="AW7" s="11"/>
      <c r="AX7" s="8" t="s">
        <v>131</v>
      </c>
      <c r="AY7" s="8" t="s">
        <v>120</v>
      </c>
      <c r="AZ7" s="8" t="s">
        <v>62</v>
      </c>
      <c r="BA7" s="8" t="s">
        <v>131</v>
      </c>
      <c r="BB7" s="8" t="s">
        <v>79</v>
      </c>
      <c r="BC7" s="8" t="s">
        <v>113</v>
      </c>
    </row>
    <row r="8" spans="1:55" x14ac:dyDescent="0.25">
      <c r="A8" s="6">
        <f t="shared" si="0"/>
        <v>7</v>
      </c>
      <c r="B8" s="9">
        <v>45748</v>
      </c>
      <c r="C8" s="8" t="s">
        <v>35</v>
      </c>
      <c r="D8" s="8">
        <v>1429</v>
      </c>
      <c r="E8" s="8"/>
      <c r="F8" s="8" t="s">
        <v>64</v>
      </c>
      <c r="G8" s="8" t="s">
        <v>62</v>
      </c>
      <c r="H8" s="8" t="s">
        <v>78</v>
      </c>
      <c r="I8" s="8" t="s">
        <v>56</v>
      </c>
      <c r="J8" s="8" t="s">
        <v>49</v>
      </c>
      <c r="K8" s="8" t="s">
        <v>133</v>
      </c>
      <c r="L8" s="8" t="s">
        <v>113</v>
      </c>
      <c r="M8" s="8" t="s">
        <v>137</v>
      </c>
      <c r="N8" s="8">
        <v>11500</v>
      </c>
      <c r="O8" s="14">
        <v>0</v>
      </c>
      <c r="P8" s="14">
        <v>0</v>
      </c>
      <c r="Q8" s="14">
        <v>11500</v>
      </c>
      <c r="R8" s="11">
        <v>6000</v>
      </c>
      <c r="S8" s="15" t="s">
        <v>148</v>
      </c>
      <c r="T8" s="8"/>
      <c r="U8" s="7">
        <v>45747</v>
      </c>
      <c r="V8" s="8" t="s">
        <v>138</v>
      </c>
      <c r="W8" s="7">
        <v>45742</v>
      </c>
      <c r="X8" s="8" t="s">
        <v>50</v>
      </c>
      <c r="Y8" s="8"/>
      <c r="Z8" s="8"/>
      <c r="AA8" s="8"/>
      <c r="AB8" s="8"/>
      <c r="AC8" s="8"/>
      <c r="AD8" s="8"/>
      <c r="AE8" s="7">
        <v>45749</v>
      </c>
      <c r="AF8" s="8">
        <v>7700</v>
      </c>
      <c r="AG8" s="8">
        <v>2300</v>
      </c>
      <c r="AH8" s="8"/>
      <c r="AI8" s="8"/>
      <c r="AJ8" s="8">
        <v>1500</v>
      </c>
      <c r="AK8" s="8"/>
      <c r="AL8" s="8"/>
      <c r="AM8" s="8"/>
      <c r="AN8" s="8"/>
      <c r="AO8" s="8"/>
      <c r="AP8" s="14" t="s">
        <v>152</v>
      </c>
      <c r="AQ8" s="15" t="s">
        <v>148</v>
      </c>
      <c r="AR8" s="11"/>
      <c r="AS8" s="11">
        <f>N8-R8</f>
        <v>5500</v>
      </c>
      <c r="AT8" s="11"/>
      <c r="AU8" s="11"/>
      <c r="AV8" s="11"/>
      <c r="AW8" s="11"/>
      <c r="AX8" s="8" t="s">
        <v>131</v>
      </c>
      <c r="AY8" s="8" t="s">
        <v>121</v>
      </c>
      <c r="AZ8" s="8" t="s">
        <v>62</v>
      </c>
      <c r="BA8" s="8" t="s">
        <v>131</v>
      </c>
      <c r="BB8" s="8" t="s">
        <v>79</v>
      </c>
      <c r="BC8" s="8" t="s">
        <v>113</v>
      </c>
    </row>
    <row r="9" spans="1:55" x14ac:dyDescent="0.25">
      <c r="A9" s="6">
        <f t="shared" si="0"/>
        <v>8</v>
      </c>
      <c r="B9" s="9">
        <v>45748</v>
      </c>
      <c r="C9" s="8" t="s">
        <v>36</v>
      </c>
      <c r="D9" s="8">
        <v>1430</v>
      </c>
      <c r="E9" s="8"/>
      <c r="F9" s="8" t="s">
        <v>65</v>
      </c>
      <c r="G9" s="8" t="s">
        <v>62</v>
      </c>
      <c r="H9" s="8" t="s">
        <v>78</v>
      </c>
      <c r="I9" s="8" t="s">
        <v>56</v>
      </c>
      <c r="J9" s="8" t="s">
        <v>49</v>
      </c>
      <c r="K9" s="8" t="s">
        <v>133</v>
      </c>
      <c r="L9" s="8" t="s">
        <v>113</v>
      </c>
      <c r="M9" s="8" t="s">
        <v>137</v>
      </c>
      <c r="N9" s="8">
        <v>11500</v>
      </c>
      <c r="O9" s="14">
        <v>0</v>
      </c>
      <c r="P9" s="14">
        <v>0</v>
      </c>
      <c r="Q9" s="14">
        <v>11500</v>
      </c>
      <c r="R9" s="11">
        <v>6000</v>
      </c>
      <c r="S9" s="15" t="s">
        <v>148</v>
      </c>
      <c r="T9" s="8"/>
      <c r="U9" s="7">
        <v>45747</v>
      </c>
      <c r="V9" s="8" t="s">
        <v>138</v>
      </c>
      <c r="W9" s="7">
        <v>45742</v>
      </c>
      <c r="X9" s="8" t="s">
        <v>50</v>
      </c>
      <c r="Y9" s="8"/>
      <c r="Z9" s="8"/>
      <c r="AA9" s="8"/>
      <c r="AB9" s="8"/>
      <c r="AC9" s="8"/>
      <c r="AD9" s="8"/>
      <c r="AE9" s="7">
        <v>45749</v>
      </c>
      <c r="AF9" s="8">
        <v>7700</v>
      </c>
      <c r="AG9" s="8">
        <v>2300</v>
      </c>
      <c r="AH9" s="8"/>
      <c r="AI9" s="8"/>
      <c r="AJ9" s="8">
        <v>1500</v>
      </c>
      <c r="AK9" s="8"/>
      <c r="AL9" s="8"/>
      <c r="AM9" s="8"/>
      <c r="AN9" s="8"/>
      <c r="AO9" s="8"/>
      <c r="AP9" s="14" t="s">
        <v>152</v>
      </c>
      <c r="AQ9" s="15" t="s">
        <v>148</v>
      </c>
      <c r="AR9" s="11"/>
      <c r="AS9" s="11">
        <f>N9-R9</f>
        <v>5500</v>
      </c>
      <c r="AT9" s="11"/>
      <c r="AU9" s="11"/>
      <c r="AV9" s="11"/>
      <c r="AW9" s="11"/>
      <c r="AX9" s="8" t="s">
        <v>131</v>
      </c>
      <c r="AY9" s="8" t="s">
        <v>122</v>
      </c>
      <c r="AZ9" s="8" t="s">
        <v>62</v>
      </c>
      <c r="BA9" s="8" t="s">
        <v>131</v>
      </c>
      <c r="BB9" s="8" t="s">
        <v>79</v>
      </c>
      <c r="BC9" s="8" t="s">
        <v>113</v>
      </c>
    </row>
    <row r="10" spans="1:55" x14ac:dyDescent="0.25">
      <c r="A10" s="6">
        <f t="shared" si="0"/>
        <v>9</v>
      </c>
      <c r="B10" s="9">
        <v>45748</v>
      </c>
      <c r="C10" s="8" t="s">
        <v>37</v>
      </c>
      <c r="D10" s="8">
        <v>1433</v>
      </c>
      <c r="E10" s="8"/>
      <c r="F10" s="8" t="s">
        <v>66</v>
      </c>
      <c r="G10" s="8" t="s">
        <v>62</v>
      </c>
      <c r="H10" s="8" t="s">
        <v>78</v>
      </c>
      <c r="I10" s="8" t="s">
        <v>56</v>
      </c>
      <c r="J10" s="8" t="s">
        <v>49</v>
      </c>
      <c r="K10" s="8" t="s">
        <v>133</v>
      </c>
      <c r="L10" s="8" t="s">
        <v>113</v>
      </c>
      <c r="M10" s="8" t="s">
        <v>137</v>
      </c>
      <c r="N10" s="8">
        <v>11500</v>
      </c>
      <c r="O10" s="14">
        <v>0</v>
      </c>
      <c r="P10" s="14">
        <v>0</v>
      </c>
      <c r="Q10" s="14">
        <v>11500</v>
      </c>
      <c r="R10" s="11">
        <v>5800</v>
      </c>
      <c r="S10" s="15" t="s">
        <v>148</v>
      </c>
      <c r="T10" s="8"/>
      <c r="U10" s="7">
        <v>45747</v>
      </c>
      <c r="V10" s="8" t="s">
        <v>138</v>
      </c>
      <c r="W10" s="7">
        <v>45742</v>
      </c>
      <c r="X10" s="8" t="s">
        <v>50</v>
      </c>
      <c r="Y10" s="8"/>
      <c r="Z10" s="8"/>
      <c r="AA10" s="8"/>
      <c r="AB10" s="8"/>
      <c r="AC10" s="8"/>
      <c r="AD10" s="8"/>
      <c r="AE10" s="7">
        <v>45749</v>
      </c>
      <c r="AF10" s="8">
        <v>7700</v>
      </c>
      <c r="AG10" s="8">
        <v>2300</v>
      </c>
      <c r="AH10" s="8"/>
      <c r="AI10" s="8"/>
      <c r="AJ10" s="8">
        <v>1500</v>
      </c>
      <c r="AK10" s="8"/>
      <c r="AL10" s="8"/>
      <c r="AM10" s="8"/>
      <c r="AN10" s="8"/>
      <c r="AO10" s="8"/>
      <c r="AP10" s="14" t="s">
        <v>152</v>
      </c>
      <c r="AQ10" s="15" t="s">
        <v>148</v>
      </c>
      <c r="AR10" s="11"/>
      <c r="AS10" s="11">
        <f>N10-R10</f>
        <v>5700</v>
      </c>
      <c r="AT10" s="11"/>
      <c r="AU10" s="11"/>
      <c r="AV10" s="11"/>
      <c r="AW10" s="11"/>
      <c r="AX10" s="8" t="s">
        <v>131</v>
      </c>
      <c r="AY10" s="8" t="s">
        <v>123</v>
      </c>
      <c r="AZ10" s="8" t="s">
        <v>62</v>
      </c>
      <c r="BA10" s="8" t="s">
        <v>131</v>
      </c>
      <c r="BB10" s="8" t="s">
        <v>79</v>
      </c>
      <c r="BC10" s="8" t="s">
        <v>113</v>
      </c>
    </row>
    <row r="11" spans="1:55" x14ac:dyDescent="0.25">
      <c r="A11" s="6">
        <f t="shared" si="0"/>
        <v>10</v>
      </c>
      <c r="B11" s="9">
        <v>45748</v>
      </c>
      <c r="C11" s="8" t="s">
        <v>38</v>
      </c>
      <c r="D11" s="8">
        <v>1434</v>
      </c>
      <c r="E11" s="8"/>
      <c r="F11" s="8" t="s">
        <v>67</v>
      </c>
      <c r="G11" s="8" t="s">
        <v>62</v>
      </c>
      <c r="H11" s="8" t="s">
        <v>78</v>
      </c>
      <c r="I11" s="8" t="s">
        <v>56</v>
      </c>
      <c r="J11" s="8" t="s">
        <v>49</v>
      </c>
      <c r="K11" s="8" t="s">
        <v>133</v>
      </c>
      <c r="L11" s="8" t="s">
        <v>113</v>
      </c>
      <c r="M11" s="8" t="s">
        <v>137</v>
      </c>
      <c r="N11" s="8">
        <v>11500</v>
      </c>
      <c r="O11" s="14">
        <v>0</v>
      </c>
      <c r="P11" s="14">
        <v>0</v>
      </c>
      <c r="Q11" s="14">
        <v>11500</v>
      </c>
      <c r="R11" s="11">
        <v>5800</v>
      </c>
      <c r="S11" s="15" t="s">
        <v>148</v>
      </c>
      <c r="T11" s="8"/>
      <c r="U11" s="7">
        <v>45747</v>
      </c>
      <c r="V11" s="8" t="s">
        <v>138</v>
      </c>
      <c r="W11" s="7">
        <v>45742</v>
      </c>
      <c r="X11" s="8" t="s">
        <v>50</v>
      </c>
      <c r="Y11" s="8"/>
      <c r="Z11" s="8"/>
      <c r="AA11" s="8"/>
      <c r="AB11" s="8"/>
      <c r="AC11" s="8"/>
      <c r="AD11" s="8"/>
      <c r="AE11" s="7">
        <v>45749</v>
      </c>
      <c r="AF11" s="8">
        <v>7700</v>
      </c>
      <c r="AG11" s="8">
        <v>2300</v>
      </c>
      <c r="AH11" s="8"/>
      <c r="AI11" s="8"/>
      <c r="AJ11" s="8">
        <v>1500</v>
      </c>
      <c r="AK11" s="8"/>
      <c r="AL11" s="8"/>
      <c r="AM11" s="8"/>
      <c r="AN11" s="8"/>
      <c r="AO11" s="8"/>
      <c r="AP11" s="14" t="s">
        <v>152</v>
      </c>
      <c r="AQ11" s="15" t="s">
        <v>148</v>
      </c>
      <c r="AR11" s="11"/>
      <c r="AS11" s="11">
        <f>N11-R11</f>
        <v>5700</v>
      </c>
      <c r="AT11" s="11"/>
      <c r="AU11" s="11"/>
      <c r="AV11" s="11"/>
      <c r="AW11" s="11"/>
      <c r="AX11" s="8" t="s">
        <v>131</v>
      </c>
      <c r="AY11" s="8" t="s">
        <v>124</v>
      </c>
      <c r="AZ11" s="8" t="s">
        <v>62</v>
      </c>
      <c r="BA11" s="8" t="s">
        <v>131</v>
      </c>
      <c r="BB11" s="8" t="s">
        <v>79</v>
      </c>
      <c r="BC11" s="8" t="s">
        <v>113</v>
      </c>
    </row>
    <row r="12" spans="1:55" x14ac:dyDescent="0.25">
      <c r="A12" s="6">
        <f t="shared" si="0"/>
        <v>11</v>
      </c>
      <c r="B12" s="9">
        <v>45748</v>
      </c>
      <c r="C12" s="8" t="s">
        <v>39</v>
      </c>
      <c r="D12" s="8">
        <v>1435</v>
      </c>
      <c r="E12" s="8"/>
      <c r="F12" s="8" t="s">
        <v>68</v>
      </c>
      <c r="G12" s="8" t="s">
        <v>62</v>
      </c>
      <c r="H12" s="8" t="s">
        <v>78</v>
      </c>
      <c r="I12" s="8" t="s">
        <v>56</v>
      </c>
      <c r="J12" s="8" t="s">
        <v>49</v>
      </c>
      <c r="K12" s="8" t="s">
        <v>133</v>
      </c>
      <c r="L12" s="8" t="s">
        <v>113</v>
      </c>
      <c r="M12" s="8" t="s">
        <v>137</v>
      </c>
      <c r="N12" s="8">
        <v>15500</v>
      </c>
      <c r="O12" s="14">
        <v>0</v>
      </c>
      <c r="P12" s="14">
        <v>4000</v>
      </c>
      <c r="Q12" s="14">
        <v>11500</v>
      </c>
      <c r="R12" s="11">
        <v>5800</v>
      </c>
      <c r="S12" s="14" t="s">
        <v>158</v>
      </c>
      <c r="T12" s="7" t="s">
        <v>140</v>
      </c>
      <c r="U12" s="7">
        <v>45746</v>
      </c>
      <c r="V12" s="8" t="s">
        <v>138</v>
      </c>
      <c r="W12" s="7">
        <v>45742</v>
      </c>
      <c r="X12" s="8" t="s">
        <v>50</v>
      </c>
      <c r="Y12" s="8"/>
      <c r="Z12" s="8"/>
      <c r="AA12" s="8"/>
      <c r="AB12" s="8"/>
      <c r="AC12" s="8"/>
      <c r="AD12" s="8"/>
      <c r="AE12" s="7">
        <v>45749</v>
      </c>
      <c r="AF12" s="8">
        <v>7700</v>
      </c>
      <c r="AG12" s="8">
        <v>2300</v>
      </c>
      <c r="AH12" s="8"/>
      <c r="AI12" s="8"/>
      <c r="AJ12" s="8">
        <v>1500</v>
      </c>
      <c r="AK12" s="8"/>
      <c r="AL12" s="8">
        <f>2500+1500</f>
        <v>4000</v>
      </c>
      <c r="AM12" s="8"/>
      <c r="AN12" s="7"/>
      <c r="AO12" s="8"/>
      <c r="AP12" s="14" t="s">
        <v>152</v>
      </c>
      <c r="AQ12" s="15" t="s">
        <v>150</v>
      </c>
      <c r="AR12" s="11" t="s">
        <v>154</v>
      </c>
      <c r="AS12" s="11">
        <f>N12-R12</f>
        <v>9700</v>
      </c>
      <c r="AT12" s="11"/>
      <c r="AU12" s="11"/>
      <c r="AV12" s="11"/>
      <c r="AW12" s="11"/>
      <c r="AX12" s="8" t="s">
        <v>131</v>
      </c>
      <c r="AY12" s="8" t="s">
        <v>125</v>
      </c>
      <c r="AZ12" s="8" t="s">
        <v>62</v>
      </c>
      <c r="BA12" s="8" t="s">
        <v>131</v>
      </c>
      <c r="BB12" s="8" t="s">
        <v>79</v>
      </c>
      <c r="BC12" s="8" t="s">
        <v>113</v>
      </c>
    </row>
    <row r="13" spans="1:55" x14ac:dyDescent="0.25">
      <c r="A13" s="6">
        <f t="shared" si="0"/>
        <v>12</v>
      </c>
      <c r="B13" s="9">
        <v>45748</v>
      </c>
      <c r="C13" s="8" t="s">
        <v>40</v>
      </c>
      <c r="D13" s="8">
        <v>1436</v>
      </c>
      <c r="E13" s="8"/>
      <c r="F13" s="8" t="s">
        <v>69</v>
      </c>
      <c r="G13" s="8" t="s">
        <v>62</v>
      </c>
      <c r="H13" s="8" t="s">
        <v>78</v>
      </c>
      <c r="I13" s="8" t="s">
        <v>56</v>
      </c>
      <c r="J13" s="8" t="s">
        <v>49</v>
      </c>
      <c r="K13" s="8" t="s">
        <v>133</v>
      </c>
      <c r="L13" s="8" t="s">
        <v>113</v>
      </c>
      <c r="M13" s="8" t="s">
        <v>137</v>
      </c>
      <c r="N13" s="8">
        <v>11500</v>
      </c>
      <c r="O13" s="14">
        <v>0</v>
      </c>
      <c r="P13" s="14">
        <v>0</v>
      </c>
      <c r="Q13" s="14">
        <v>11500</v>
      </c>
      <c r="R13" s="11">
        <v>7800</v>
      </c>
      <c r="S13" s="15" t="s">
        <v>148</v>
      </c>
      <c r="T13" s="8"/>
      <c r="U13" s="7">
        <v>45747</v>
      </c>
      <c r="V13" s="8" t="s">
        <v>138</v>
      </c>
      <c r="W13" s="7">
        <v>45742</v>
      </c>
      <c r="X13" s="8" t="s">
        <v>50</v>
      </c>
      <c r="Y13" s="8"/>
      <c r="Z13" s="8"/>
      <c r="AA13" s="8"/>
      <c r="AB13" s="8"/>
      <c r="AC13" s="8"/>
      <c r="AD13" s="8"/>
      <c r="AE13" s="7">
        <v>45763</v>
      </c>
      <c r="AF13" s="8">
        <v>7700</v>
      </c>
      <c r="AG13" s="8">
        <v>2300</v>
      </c>
      <c r="AH13" s="8"/>
      <c r="AI13" s="8"/>
      <c r="AJ13" s="8">
        <v>1500</v>
      </c>
      <c r="AK13" s="8"/>
      <c r="AL13" s="8"/>
      <c r="AM13" s="8"/>
      <c r="AN13" s="8"/>
      <c r="AO13" s="8"/>
      <c r="AP13" s="14" t="s">
        <v>152</v>
      </c>
      <c r="AQ13" s="15" t="s">
        <v>148</v>
      </c>
      <c r="AR13" s="11"/>
      <c r="AS13" s="11">
        <f>N13-R13</f>
        <v>3700</v>
      </c>
      <c r="AT13" s="11"/>
      <c r="AU13" s="11"/>
      <c r="AV13" s="11"/>
      <c r="AW13" s="11"/>
      <c r="AX13" s="8" t="s">
        <v>131</v>
      </c>
      <c r="AY13" s="8" t="s">
        <v>126</v>
      </c>
      <c r="AZ13" s="8" t="s">
        <v>62</v>
      </c>
      <c r="BA13" s="8" t="s">
        <v>131</v>
      </c>
      <c r="BB13" s="8" t="s">
        <v>79</v>
      </c>
      <c r="BC13" s="8" t="s">
        <v>113</v>
      </c>
    </row>
    <row r="14" spans="1:55" x14ac:dyDescent="0.25">
      <c r="A14" s="6">
        <f t="shared" si="0"/>
        <v>13</v>
      </c>
      <c r="B14" s="9">
        <v>45748</v>
      </c>
      <c r="C14" s="8" t="s">
        <v>41</v>
      </c>
      <c r="D14" s="8">
        <v>1440</v>
      </c>
      <c r="E14" s="8"/>
      <c r="F14" s="8" t="s">
        <v>70</v>
      </c>
      <c r="G14" s="8" t="s">
        <v>72</v>
      </c>
      <c r="H14" s="8" t="s">
        <v>91</v>
      </c>
      <c r="I14" s="8" t="s">
        <v>53</v>
      </c>
      <c r="J14" s="8" t="s">
        <v>49</v>
      </c>
      <c r="K14" s="8" t="s">
        <v>134</v>
      </c>
      <c r="L14" s="8" t="s">
        <v>113</v>
      </c>
      <c r="M14" s="8" t="s">
        <v>135</v>
      </c>
      <c r="N14" s="8">
        <v>13000</v>
      </c>
      <c r="O14" s="14">
        <v>13000</v>
      </c>
      <c r="P14" s="14">
        <v>0</v>
      </c>
      <c r="Q14" s="14">
        <v>0</v>
      </c>
      <c r="R14" s="11">
        <v>11300</v>
      </c>
      <c r="S14" s="15" t="s">
        <v>149</v>
      </c>
      <c r="T14" s="8"/>
      <c r="U14" s="7">
        <v>45750</v>
      </c>
      <c r="V14" s="8" t="s">
        <v>139</v>
      </c>
      <c r="W14" s="7">
        <v>45747</v>
      </c>
      <c r="X14" s="8" t="s">
        <v>50</v>
      </c>
      <c r="Y14" s="8"/>
      <c r="Z14" s="8"/>
      <c r="AA14" s="8"/>
      <c r="AB14" s="8"/>
      <c r="AC14" s="8"/>
      <c r="AD14" s="8"/>
      <c r="AE14" s="7"/>
      <c r="AF14" s="8">
        <v>4000</v>
      </c>
      <c r="AG14" s="8">
        <v>2300</v>
      </c>
      <c r="AH14" s="8">
        <v>2000</v>
      </c>
      <c r="AI14" s="8">
        <v>700</v>
      </c>
      <c r="AJ14" s="8">
        <v>1500</v>
      </c>
      <c r="AK14" s="8">
        <v>2500</v>
      </c>
      <c r="AL14" s="8"/>
      <c r="AM14" s="8"/>
      <c r="AN14" s="8"/>
      <c r="AO14" s="8"/>
      <c r="AP14" s="14" t="s">
        <v>152</v>
      </c>
      <c r="AQ14" s="15" t="s">
        <v>149</v>
      </c>
      <c r="AR14" s="11" t="s">
        <v>156</v>
      </c>
      <c r="AS14" s="11">
        <f>N14-R14</f>
        <v>1700</v>
      </c>
      <c r="AT14" s="11"/>
      <c r="AU14" s="11"/>
      <c r="AV14" s="11"/>
      <c r="AW14" s="11"/>
      <c r="AX14" s="8" t="s">
        <v>131</v>
      </c>
      <c r="AY14" s="8" t="s">
        <v>127</v>
      </c>
      <c r="AZ14" s="8" t="s">
        <v>71</v>
      </c>
      <c r="BA14" s="8" t="s">
        <v>131</v>
      </c>
      <c r="BB14" s="8" t="s">
        <v>92</v>
      </c>
      <c r="BC14" s="8" t="s">
        <v>113</v>
      </c>
    </row>
    <row r="15" spans="1:55" x14ac:dyDescent="0.25">
      <c r="A15" s="6">
        <f t="shared" si="0"/>
        <v>14</v>
      </c>
      <c r="B15" s="9">
        <v>45748</v>
      </c>
      <c r="C15" s="8" t="s">
        <v>42</v>
      </c>
      <c r="D15" s="8">
        <v>1443</v>
      </c>
      <c r="E15" s="8"/>
      <c r="F15" s="8" t="s">
        <v>73</v>
      </c>
      <c r="G15" s="8" t="s">
        <v>72</v>
      </c>
      <c r="H15" s="8" t="s">
        <v>97</v>
      </c>
      <c r="I15" s="8" t="s">
        <v>53</v>
      </c>
      <c r="J15" s="8" t="s">
        <v>49</v>
      </c>
      <c r="K15" s="8" t="s">
        <v>132</v>
      </c>
      <c r="L15" s="8" t="s">
        <v>114</v>
      </c>
      <c r="M15" s="8" t="s">
        <v>137</v>
      </c>
      <c r="N15" s="8">
        <v>13400</v>
      </c>
      <c r="O15" s="14">
        <v>0</v>
      </c>
      <c r="P15" s="14">
        <v>0</v>
      </c>
      <c r="Q15" s="14">
        <v>13400</v>
      </c>
      <c r="R15" s="11">
        <v>8100</v>
      </c>
      <c r="S15" s="15" t="s">
        <v>148</v>
      </c>
      <c r="T15" s="8"/>
      <c r="U15" s="7">
        <v>45750</v>
      </c>
      <c r="V15" s="8" t="s">
        <v>138</v>
      </c>
      <c r="W15" s="7">
        <v>45748</v>
      </c>
      <c r="X15" s="8" t="s">
        <v>50</v>
      </c>
      <c r="Y15" s="8"/>
      <c r="Z15" s="8"/>
      <c r="AA15" s="8"/>
      <c r="AB15" s="8"/>
      <c r="AC15" s="8"/>
      <c r="AD15" s="8"/>
      <c r="AE15" s="7">
        <v>45750</v>
      </c>
      <c r="AF15" s="8">
        <v>5400</v>
      </c>
      <c r="AG15" s="8">
        <v>6500</v>
      </c>
      <c r="AH15" s="8"/>
      <c r="AI15" s="8"/>
      <c r="AJ15" s="8">
        <v>1500</v>
      </c>
      <c r="AK15" s="8"/>
      <c r="AL15" s="8"/>
      <c r="AM15" s="8"/>
      <c r="AN15" s="8"/>
      <c r="AO15" s="8"/>
      <c r="AP15" s="14" t="s">
        <v>152</v>
      </c>
      <c r="AQ15" s="15" t="s">
        <v>148</v>
      </c>
      <c r="AR15" s="11"/>
      <c r="AS15" s="11">
        <f>N15-R15</f>
        <v>5300</v>
      </c>
      <c r="AT15" s="11"/>
      <c r="AU15" s="11"/>
      <c r="AV15" s="11"/>
      <c r="AW15" s="11"/>
      <c r="AX15" s="8" t="s">
        <v>131</v>
      </c>
      <c r="AY15" s="8">
        <v>48141100</v>
      </c>
      <c r="AZ15" s="8" t="s">
        <v>74</v>
      </c>
      <c r="BA15" s="8" t="s">
        <v>131</v>
      </c>
      <c r="BB15" s="8" t="s">
        <v>98</v>
      </c>
      <c r="BC15" s="8" t="s">
        <v>114</v>
      </c>
    </row>
    <row r="16" spans="1:55" x14ac:dyDescent="0.25">
      <c r="A16" s="6">
        <f t="shared" si="0"/>
        <v>15</v>
      </c>
      <c r="B16" s="9">
        <v>45748</v>
      </c>
      <c r="C16" s="8" t="s">
        <v>43</v>
      </c>
      <c r="D16" s="8">
        <v>1446</v>
      </c>
      <c r="E16" s="8"/>
      <c r="F16" s="8" t="s">
        <v>75</v>
      </c>
      <c r="G16" s="8" t="s">
        <v>77</v>
      </c>
      <c r="H16" s="8" t="s">
        <v>91</v>
      </c>
      <c r="I16" s="8" t="s">
        <v>53</v>
      </c>
      <c r="J16" s="8" t="s">
        <v>49</v>
      </c>
      <c r="K16" s="8" t="s">
        <v>133</v>
      </c>
      <c r="L16" s="8" t="s">
        <v>114</v>
      </c>
      <c r="M16" s="8" t="s">
        <v>135</v>
      </c>
      <c r="N16" s="8">
        <v>20900</v>
      </c>
      <c r="O16" s="14">
        <v>20900</v>
      </c>
      <c r="P16" s="14">
        <v>0</v>
      </c>
      <c r="Q16" s="14">
        <v>0</v>
      </c>
      <c r="R16" s="11">
        <v>20000</v>
      </c>
      <c r="S16" s="15" t="s">
        <v>149</v>
      </c>
      <c r="T16" s="8"/>
      <c r="U16" s="7">
        <v>45752</v>
      </c>
      <c r="V16" s="8" t="s">
        <v>139</v>
      </c>
      <c r="W16" s="7">
        <v>45748</v>
      </c>
      <c r="X16" s="8" t="s">
        <v>50</v>
      </c>
      <c r="Y16" s="8"/>
      <c r="Z16" s="8"/>
      <c r="AA16" s="8"/>
      <c r="AB16" s="8"/>
      <c r="AC16" s="8"/>
      <c r="AD16" s="8"/>
      <c r="AE16" s="7"/>
      <c r="AF16" s="8">
        <v>7700</v>
      </c>
      <c r="AG16" s="8">
        <v>6500</v>
      </c>
      <c r="AH16" s="8">
        <v>2000</v>
      </c>
      <c r="AI16" s="8">
        <v>700</v>
      </c>
      <c r="AJ16" s="8">
        <v>1500</v>
      </c>
      <c r="AK16" s="8">
        <v>2500</v>
      </c>
      <c r="AL16" s="8"/>
      <c r="AM16" s="8"/>
      <c r="AN16" s="8"/>
      <c r="AO16" s="8"/>
      <c r="AP16" s="14" t="s">
        <v>152</v>
      </c>
      <c r="AQ16" s="15" t="s">
        <v>149</v>
      </c>
      <c r="AR16" s="11" t="s">
        <v>156</v>
      </c>
      <c r="AS16" s="11">
        <f>N16-R16</f>
        <v>900</v>
      </c>
      <c r="AT16" s="11" t="s">
        <v>138</v>
      </c>
      <c r="AU16" s="11"/>
      <c r="AV16" s="11"/>
      <c r="AW16" s="11"/>
      <c r="AX16" s="8" t="s">
        <v>131</v>
      </c>
      <c r="AY16" s="8" t="s">
        <v>128</v>
      </c>
      <c r="AZ16" s="8" t="s">
        <v>76</v>
      </c>
      <c r="BA16" s="8" t="s">
        <v>131</v>
      </c>
      <c r="BB16" s="8" t="s">
        <v>92</v>
      </c>
      <c r="BC16" s="8" t="s">
        <v>114</v>
      </c>
    </row>
    <row r="17" spans="1:55" x14ac:dyDescent="0.25">
      <c r="A17" s="6">
        <f t="shared" si="0"/>
        <v>16</v>
      </c>
      <c r="B17" s="9">
        <v>45748</v>
      </c>
      <c r="C17" s="8" t="s">
        <v>33</v>
      </c>
      <c r="D17" s="8">
        <v>1481</v>
      </c>
      <c r="E17" s="8"/>
      <c r="F17" s="8" t="s">
        <v>78</v>
      </c>
      <c r="G17" s="8" t="s">
        <v>79</v>
      </c>
      <c r="H17" s="8" t="s">
        <v>99</v>
      </c>
      <c r="I17" s="8" t="s">
        <v>102</v>
      </c>
      <c r="J17" s="8" t="s">
        <v>49</v>
      </c>
      <c r="K17" s="8" t="s">
        <v>133</v>
      </c>
      <c r="L17" s="8" t="s">
        <v>115</v>
      </c>
      <c r="M17" s="8" t="s">
        <v>137</v>
      </c>
      <c r="N17" s="8">
        <v>10000</v>
      </c>
      <c r="O17" s="14">
        <v>0</v>
      </c>
      <c r="P17" s="14">
        <v>0</v>
      </c>
      <c r="Q17" s="14">
        <v>10000</v>
      </c>
      <c r="R17" s="11">
        <v>6000</v>
      </c>
      <c r="S17" s="15" t="s">
        <v>148</v>
      </c>
      <c r="T17" s="8"/>
      <c r="U17" s="7">
        <v>45754</v>
      </c>
      <c r="V17" s="7" t="s">
        <v>138</v>
      </c>
      <c r="W17" s="7">
        <v>45720</v>
      </c>
      <c r="X17" s="8" t="s">
        <v>50</v>
      </c>
      <c r="Y17" s="8"/>
      <c r="Z17" s="8"/>
      <c r="AA17" s="8"/>
      <c r="AB17" s="8"/>
      <c r="AC17" s="8"/>
      <c r="AD17" s="8"/>
      <c r="AE17" s="7">
        <v>45754</v>
      </c>
      <c r="AF17" s="8">
        <v>7700</v>
      </c>
      <c r="AG17" s="8">
        <v>2300</v>
      </c>
      <c r="AH17" s="8"/>
      <c r="AI17" s="8"/>
      <c r="AJ17" s="8"/>
      <c r="AK17" s="8"/>
      <c r="AL17" s="8"/>
      <c r="AM17" s="8"/>
      <c r="AN17" s="8"/>
      <c r="AO17" s="8"/>
      <c r="AP17" s="14" t="s">
        <v>152</v>
      </c>
      <c r="AQ17" s="15" t="s">
        <v>148</v>
      </c>
      <c r="AR17" s="11"/>
      <c r="AS17" s="11">
        <f>N17-R17</f>
        <v>4000</v>
      </c>
      <c r="AT17" s="11"/>
      <c r="AU17" s="11"/>
      <c r="AV17" s="11"/>
      <c r="AW17" s="11"/>
      <c r="AX17" s="8" t="s">
        <v>131</v>
      </c>
      <c r="AY17" s="8" t="s">
        <v>119</v>
      </c>
      <c r="AZ17" s="8" t="s">
        <v>56</v>
      </c>
      <c r="BA17" s="8" t="s">
        <v>131</v>
      </c>
      <c r="BB17" s="8" t="s">
        <v>100</v>
      </c>
      <c r="BC17" s="8" t="s">
        <v>115</v>
      </c>
    </row>
    <row r="18" spans="1:55" x14ac:dyDescent="0.25">
      <c r="A18" s="6">
        <f t="shared" si="0"/>
        <v>17</v>
      </c>
      <c r="B18" s="9">
        <v>45748</v>
      </c>
      <c r="C18" s="8" t="s">
        <v>34</v>
      </c>
      <c r="D18" s="8">
        <v>1482</v>
      </c>
      <c r="E18" s="8"/>
      <c r="F18" s="8" t="s">
        <v>78</v>
      </c>
      <c r="G18" s="8" t="s">
        <v>79</v>
      </c>
      <c r="H18" s="8" t="s">
        <v>101</v>
      </c>
      <c r="I18" s="8" t="s">
        <v>102</v>
      </c>
      <c r="J18" s="8" t="s">
        <v>49</v>
      </c>
      <c r="K18" s="8" t="s">
        <v>133</v>
      </c>
      <c r="L18" s="8" t="s">
        <v>115</v>
      </c>
      <c r="M18" s="8" t="s">
        <v>137</v>
      </c>
      <c r="N18" s="8">
        <v>18200</v>
      </c>
      <c r="O18" s="14">
        <v>0</v>
      </c>
      <c r="P18" s="14">
        <v>4000</v>
      </c>
      <c r="Q18" s="14">
        <v>14200</v>
      </c>
      <c r="R18" s="11">
        <v>13500</v>
      </c>
      <c r="S18" s="14" t="s">
        <v>158</v>
      </c>
      <c r="T18" s="7" t="s">
        <v>140</v>
      </c>
      <c r="U18" s="7">
        <v>45746</v>
      </c>
      <c r="V18" s="7" t="s">
        <v>138</v>
      </c>
      <c r="W18" s="7">
        <v>45720</v>
      </c>
      <c r="X18" s="8" t="s">
        <v>50</v>
      </c>
      <c r="Y18" s="8"/>
      <c r="Z18" s="8"/>
      <c r="AA18" s="8"/>
      <c r="AB18" s="8"/>
      <c r="AC18" s="8"/>
      <c r="AD18" s="8"/>
      <c r="AE18" s="7">
        <v>45762</v>
      </c>
      <c r="AF18" s="8">
        <v>7700</v>
      </c>
      <c r="AG18" s="8">
        <v>6500</v>
      </c>
      <c r="AH18" s="8"/>
      <c r="AI18" s="8"/>
      <c r="AJ18" s="8"/>
      <c r="AK18" s="8"/>
      <c r="AL18" s="8">
        <f t="shared" ref="AL18:AL19" si="1">2500+1500</f>
        <v>4000</v>
      </c>
      <c r="AM18" s="8"/>
      <c r="AN18" s="7"/>
      <c r="AO18" s="8"/>
      <c r="AP18" s="14" t="s">
        <v>152</v>
      </c>
      <c r="AQ18" s="15" t="s">
        <v>150</v>
      </c>
      <c r="AR18" s="11" t="s">
        <v>154</v>
      </c>
      <c r="AS18" s="11">
        <f>N18-R18</f>
        <v>4700</v>
      </c>
      <c r="AT18" s="11"/>
      <c r="AU18" s="11"/>
      <c r="AV18" s="11"/>
      <c r="AW18" s="11"/>
      <c r="AX18" s="8" t="s">
        <v>131</v>
      </c>
      <c r="AY18" s="8" t="s">
        <v>120</v>
      </c>
      <c r="AZ18" s="8" t="s">
        <v>56</v>
      </c>
      <c r="BA18" s="8" t="s">
        <v>131</v>
      </c>
      <c r="BB18" s="8" t="s">
        <v>103</v>
      </c>
      <c r="BC18" s="8" t="s">
        <v>115</v>
      </c>
    </row>
    <row r="19" spans="1:55" x14ac:dyDescent="0.25">
      <c r="A19" s="6">
        <f t="shared" si="0"/>
        <v>18</v>
      </c>
      <c r="B19" s="9">
        <v>45748</v>
      </c>
      <c r="C19" s="8" t="s">
        <v>35</v>
      </c>
      <c r="D19" s="8">
        <v>1483</v>
      </c>
      <c r="E19" s="8"/>
      <c r="F19" s="8" t="s">
        <v>78</v>
      </c>
      <c r="G19" s="8" t="s">
        <v>79</v>
      </c>
      <c r="H19" s="8" t="s">
        <v>104</v>
      </c>
      <c r="I19" s="8" t="s">
        <v>102</v>
      </c>
      <c r="J19" s="8" t="s">
        <v>49</v>
      </c>
      <c r="K19" s="8" t="s">
        <v>133</v>
      </c>
      <c r="L19" s="8" t="s">
        <v>115</v>
      </c>
      <c r="M19" s="8" t="s">
        <v>137</v>
      </c>
      <c r="N19" s="8">
        <v>19700</v>
      </c>
      <c r="O19" s="14">
        <v>0</v>
      </c>
      <c r="P19" s="14">
        <v>4000</v>
      </c>
      <c r="Q19" s="14">
        <v>15700</v>
      </c>
      <c r="R19" s="11">
        <v>13500</v>
      </c>
      <c r="S19" s="14" t="s">
        <v>158</v>
      </c>
      <c r="T19" s="7" t="s">
        <v>140</v>
      </c>
      <c r="U19" s="7">
        <v>45746</v>
      </c>
      <c r="V19" s="7" t="s">
        <v>138</v>
      </c>
      <c r="W19" s="7">
        <v>45720</v>
      </c>
      <c r="X19" s="8" t="s">
        <v>50</v>
      </c>
      <c r="Y19" s="8"/>
      <c r="Z19" s="8"/>
      <c r="AA19" s="8"/>
      <c r="AB19" s="8"/>
      <c r="AC19" s="8"/>
      <c r="AD19" s="8"/>
      <c r="AE19" s="7">
        <v>45762</v>
      </c>
      <c r="AF19" s="8">
        <v>7700</v>
      </c>
      <c r="AG19" s="8">
        <v>6500</v>
      </c>
      <c r="AH19" s="8"/>
      <c r="AI19" s="8"/>
      <c r="AJ19" s="8">
        <v>1500</v>
      </c>
      <c r="AK19" s="8"/>
      <c r="AL19" s="8">
        <f t="shared" si="1"/>
        <v>4000</v>
      </c>
      <c r="AM19" s="8"/>
      <c r="AN19" s="7"/>
      <c r="AO19" s="8"/>
      <c r="AP19" s="14" t="s">
        <v>152</v>
      </c>
      <c r="AQ19" s="15" t="s">
        <v>150</v>
      </c>
      <c r="AR19" s="11" t="s">
        <v>154</v>
      </c>
      <c r="AS19" s="11">
        <f>N19-R19</f>
        <v>6200</v>
      </c>
      <c r="AT19" s="11"/>
      <c r="AU19" s="11"/>
      <c r="AV19" s="11"/>
      <c r="AW19" s="11"/>
      <c r="AX19" s="8" t="s">
        <v>131</v>
      </c>
      <c r="AY19" s="8" t="s">
        <v>121</v>
      </c>
      <c r="AZ19" s="8" t="s">
        <v>56</v>
      </c>
      <c r="BA19" s="8" t="s">
        <v>131</v>
      </c>
      <c r="BB19" s="8" t="s">
        <v>105</v>
      </c>
      <c r="BC19" s="8" t="s">
        <v>115</v>
      </c>
    </row>
    <row r="20" spans="1:55" x14ac:dyDescent="0.25">
      <c r="A20" s="6">
        <f t="shared" si="0"/>
        <v>19</v>
      </c>
      <c r="B20" s="9">
        <v>45748</v>
      </c>
      <c r="C20" s="8" t="s">
        <v>44</v>
      </c>
      <c r="D20" s="8">
        <v>1506</v>
      </c>
      <c r="E20" s="8"/>
      <c r="F20" s="8" t="s">
        <v>80</v>
      </c>
      <c r="G20" s="8" t="s">
        <v>72</v>
      </c>
      <c r="H20" s="8" t="s">
        <v>106</v>
      </c>
      <c r="I20" s="8" t="s">
        <v>53</v>
      </c>
      <c r="J20" s="8" t="s">
        <v>49</v>
      </c>
      <c r="K20" s="8" t="s">
        <v>132</v>
      </c>
      <c r="L20" s="8" t="s">
        <v>113</v>
      </c>
      <c r="M20" s="8" t="s">
        <v>135</v>
      </c>
      <c r="N20" s="8">
        <v>14400</v>
      </c>
      <c r="O20" s="14">
        <v>14400</v>
      </c>
      <c r="P20" s="14">
        <v>0</v>
      </c>
      <c r="Q20" s="14">
        <v>0</v>
      </c>
      <c r="R20" s="11">
        <v>13600</v>
      </c>
      <c r="S20" s="15" t="s">
        <v>149</v>
      </c>
      <c r="T20" s="8"/>
      <c r="U20" s="7">
        <v>45756</v>
      </c>
      <c r="V20" s="7" t="s">
        <v>139</v>
      </c>
      <c r="W20" s="7">
        <v>45753</v>
      </c>
      <c r="X20" s="8" t="s">
        <v>50</v>
      </c>
      <c r="Y20" s="8"/>
      <c r="Z20" s="8"/>
      <c r="AA20" s="8"/>
      <c r="AB20" s="8"/>
      <c r="AC20" s="8"/>
      <c r="AD20" s="8"/>
      <c r="AE20" s="7"/>
      <c r="AF20" s="8">
        <v>5400</v>
      </c>
      <c r="AG20" s="8">
        <v>2300</v>
      </c>
      <c r="AH20" s="8">
        <v>2000</v>
      </c>
      <c r="AI20" s="8">
        <v>700</v>
      </c>
      <c r="AJ20" s="8">
        <v>1500</v>
      </c>
      <c r="AK20" s="8">
        <v>2500</v>
      </c>
      <c r="AL20" s="8"/>
      <c r="AM20" s="8"/>
      <c r="AN20" s="8"/>
      <c r="AO20" s="8"/>
      <c r="AP20" s="14" t="s">
        <v>152</v>
      </c>
      <c r="AQ20" s="15" t="s">
        <v>149</v>
      </c>
      <c r="AR20" s="11" t="s">
        <v>156</v>
      </c>
      <c r="AS20" s="11">
        <f>N20-R20</f>
        <v>800</v>
      </c>
      <c r="AT20" s="11"/>
      <c r="AU20" s="11"/>
      <c r="AV20" s="11"/>
      <c r="AW20" s="11"/>
      <c r="AX20" s="8" t="s">
        <v>131</v>
      </c>
      <c r="AY20" s="8">
        <v>61968671</v>
      </c>
      <c r="AZ20" s="8" t="s">
        <v>81</v>
      </c>
      <c r="BA20" s="8" t="s">
        <v>131</v>
      </c>
      <c r="BB20" s="8" t="s">
        <v>53</v>
      </c>
      <c r="BC20" s="8" t="s">
        <v>113</v>
      </c>
    </row>
    <row r="21" spans="1:55" x14ac:dyDescent="0.25">
      <c r="A21" s="6">
        <f t="shared" si="0"/>
        <v>20</v>
      </c>
      <c r="B21" s="9">
        <v>45748</v>
      </c>
      <c r="C21" s="8" t="s">
        <v>45</v>
      </c>
      <c r="D21" s="8">
        <v>1514</v>
      </c>
      <c r="E21" s="8"/>
      <c r="F21" s="8" t="s">
        <v>82</v>
      </c>
      <c r="G21" s="8" t="s">
        <v>84</v>
      </c>
      <c r="H21" s="8" t="s">
        <v>107</v>
      </c>
      <c r="I21" s="8" t="s">
        <v>77</v>
      </c>
      <c r="J21" s="8" t="s">
        <v>49</v>
      </c>
      <c r="K21" s="8" t="s">
        <v>132</v>
      </c>
      <c r="L21" s="8" t="s">
        <v>114</v>
      </c>
      <c r="M21" s="8" t="s">
        <v>137</v>
      </c>
      <c r="N21" s="8">
        <v>9200</v>
      </c>
      <c r="O21" s="14">
        <v>0</v>
      </c>
      <c r="P21" s="14">
        <v>0</v>
      </c>
      <c r="Q21" s="14">
        <v>9200</v>
      </c>
      <c r="R21" s="11">
        <v>7500</v>
      </c>
      <c r="S21" s="15" t="s">
        <v>148</v>
      </c>
      <c r="T21" s="8"/>
      <c r="U21" s="7">
        <v>45757</v>
      </c>
      <c r="V21" s="7" t="s">
        <v>138</v>
      </c>
      <c r="W21" s="7">
        <v>45755</v>
      </c>
      <c r="X21" s="8" t="s">
        <v>50</v>
      </c>
      <c r="Y21" s="8"/>
      <c r="Z21" s="8"/>
      <c r="AA21" s="8"/>
      <c r="AB21" s="8"/>
      <c r="AC21" s="8"/>
      <c r="AD21" s="8"/>
      <c r="AE21" s="7">
        <v>45758</v>
      </c>
      <c r="AF21" s="8">
        <v>5400</v>
      </c>
      <c r="AG21" s="8">
        <v>2300</v>
      </c>
      <c r="AH21" s="8"/>
      <c r="AI21" s="8"/>
      <c r="AJ21" s="8">
        <v>1500</v>
      </c>
      <c r="AK21" s="8"/>
      <c r="AL21" s="8"/>
      <c r="AM21" s="8"/>
      <c r="AN21" s="8"/>
      <c r="AO21" s="8"/>
      <c r="AP21" s="14" t="s">
        <v>152</v>
      </c>
      <c r="AQ21" s="15" t="s">
        <v>148</v>
      </c>
      <c r="AR21" s="11"/>
      <c r="AS21" s="11">
        <f>N21-R21</f>
        <v>1700</v>
      </c>
      <c r="AT21" s="11"/>
      <c r="AU21" s="11"/>
      <c r="AV21" s="11"/>
      <c r="AW21" s="11"/>
      <c r="AX21" s="8" t="s">
        <v>131</v>
      </c>
      <c r="AY21" s="8" t="s">
        <v>129</v>
      </c>
      <c r="AZ21" s="8" t="s">
        <v>83</v>
      </c>
      <c r="BA21" s="8" t="s">
        <v>131</v>
      </c>
      <c r="BB21" s="8" t="s">
        <v>108</v>
      </c>
      <c r="BC21" s="8" t="s">
        <v>114</v>
      </c>
    </row>
    <row r="22" spans="1:55" x14ac:dyDescent="0.25">
      <c r="A22" s="6">
        <f t="shared" si="0"/>
        <v>21</v>
      </c>
      <c r="B22" s="9">
        <v>45748</v>
      </c>
      <c r="C22" s="8" t="s">
        <v>46</v>
      </c>
      <c r="D22" s="8">
        <v>1517</v>
      </c>
      <c r="E22" s="8"/>
      <c r="F22" s="8" t="s">
        <v>85</v>
      </c>
      <c r="G22" s="8" t="s">
        <v>84</v>
      </c>
      <c r="H22" s="8" t="s">
        <v>91</v>
      </c>
      <c r="I22" s="8" t="s">
        <v>53</v>
      </c>
      <c r="J22" s="8" t="s">
        <v>49</v>
      </c>
      <c r="K22" s="8" t="s">
        <v>133</v>
      </c>
      <c r="L22" s="8" t="s">
        <v>113</v>
      </c>
      <c r="M22" s="8" t="s">
        <v>135</v>
      </c>
      <c r="N22" s="8">
        <v>20900</v>
      </c>
      <c r="O22" s="14">
        <v>20900</v>
      </c>
      <c r="P22" s="14">
        <v>0</v>
      </c>
      <c r="Q22" s="14">
        <v>0</v>
      </c>
      <c r="R22" s="11">
        <v>19000</v>
      </c>
      <c r="S22" s="15" t="s">
        <v>149</v>
      </c>
      <c r="T22" s="8"/>
      <c r="U22" s="7">
        <v>45757</v>
      </c>
      <c r="V22" s="7" t="s">
        <v>139</v>
      </c>
      <c r="W22" s="7">
        <v>45755</v>
      </c>
      <c r="X22" s="8" t="s">
        <v>50</v>
      </c>
      <c r="Y22" s="8"/>
      <c r="Z22" s="8"/>
      <c r="AA22" s="8"/>
      <c r="AB22" s="8"/>
      <c r="AC22" s="8"/>
      <c r="AD22" s="8"/>
      <c r="AE22" s="7"/>
      <c r="AF22" s="8">
        <v>7700</v>
      </c>
      <c r="AG22" s="8">
        <v>6500</v>
      </c>
      <c r="AH22" s="8">
        <v>2000</v>
      </c>
      <c r="AI22" s="8">
        <v>700</v>
      </c>
      <c r="AJ22" s="8">
        <v>1500</v>
      </c>
      <c r="AK22" s="8">
        <v>2500</v>
      </c>
      <c r="AL22" s="8"/>
      <c r="AM22" s="8"/>
      <c r="AN22" s="8"/>
      <c r="AO22" s="8"/>
      <c r="AP22" s="14" t="s">
        <v>152</v>
      </c>
      <c r="AQ22" s="15" t="s">
        <v>149</v>
      </c>
      <c r="AR22" s="11" t="s">
        <v>156</v>
      </c>
      <c r="AS22" s="11">
        <f>N22-R22</f>
        <v>1900</v>
      </c>
      <c r="AT22" s="11" t="s">
        <v>138</v>
      </c>
      <c r="AU22" s="11"/>
      <c r="AV22" s="11"/>
      <c r="AW22" s="11"/>
      <c r="AX22" s="8" t="s">
        <v>131</v>
      </c>
      <c r="AY22" s="8">
        <v>57693074</v>
      </c>
      <c r="AZ22" s="8" t="s">
        <v>86</v>
      </c>
      <c r="BA22" s="8" t="s">
        <v>131</v>
      </c>
      <c r="BB22" s="8" t="s">
        <v>92</v>
      </c>
      <c r="BC22" s="8" t="s">
        <v>113</v>
      </c>
    </row>
    <row r="23" spans="1:55" x14ac:dyDescent="0.25">
      <c r="A23" s="6">
        <f t="shared" si="0"/>
        <v>22</v>
      </c>
      <c r="B23" s="9">
        <v>45748</v>
      </c>
      <c r="C23" s="8" t="s">
        <v>47</v>
      </c>
      <c r="D23" s="8">
        <v>1519</v>
      </c>
      <c r="E23" s="8"/>
      <c r="F23" s="8" t="s">
        <v>87</v>
      </c>
      <c r="G23" s="8" t="s">
        <v>72</v>
      </c>
      <c r="H23" s="8" t="s">
        <v>109</v>
      </c>
      <c r="I23" s="8" t="s">
        <v>72</v>
      </c>
      <c r="J23" s="8" t="s">
        <v>49</v>
      </c>
      <c r="K23" s="8" t="s">
        <v>132</v>
      </c>
      <c r="L23" s="8" t="s">
        <v>114</v>
      </c>
      <c r="M23" s="8" t="s">
        <v>135</v>
      </c>
      <c r="N23" s="8">
        <v>14400</v>
      </c>
      <c r="O23" s="14">
        <v>0</v>
      </c>
      <c r="P23" s="14">
        <v>0</v>
      </c>
      <c r="Q23" s="14">
        <v>14400</v>
      </c>
      <c r="R23" s="11">
        <v>13600</v>
      </c>
      <c r="S23" s="15" t="s">
        <v>148</v>
      </c>
      <c r="T23" s="8"/>
      <c r="U23" s="7">
        <v>45757</v>
      </c>
      <c r="V23" s="7" t="s">
        <v>138</v>
      </c>
      <c r="W23" s="7">
        <v>45756</v>
      </c>
      <c r="X23" s="8" t="s">
        <v>50</v>
      </c>
      <c r="Y23" s="8"/>
      <c r="Z23" s="8"/>
      <c r="AA23" s="8"/>
      <c r="AB23" s="8"/>
      <c r="AC23" s="8"/>
      <c r="AD23" s="8"/>
      <c r="AE23" s="7">
        <v>45757</v>
      </c>
      <c r="AF23" s="8">
        <v>5400</v>
      </c>
      <c r="AG23" s="8">
        <v>2300</v>
      </c>
      <c r="AH23" s="8">
        <v>2000</v>
      </c>
      <c r="AI23" s="8">
        <v>700</v>
      </c>
      <c r="AJ23" s="8">
        <v>1500</v>
      </c>
      <c r="AK23" s="8">
        <v>2500</v>
      </c>
      <c r="AL23" s="8"/>
      <c r="AM23" s="8"/>
      <c r="AN23" s="8"/>
      <c r="AO23" s="8"/>
      <c r="AP23" s="14" t="s">
        <v>152</v>
      </c>
      <c r="AQ23" s="15" t="s">
        <v>148</v>
      </c>
      <c r="AR23" s="11"/>
      <c r="AS23" s="11">
        <f>N23-R23</f>
        <v>800</v>
      </c>
      <c r="AT23" s="11"/>
      <c r="AU23" s="11"/>
      <c r="AV23" s="11"/>
      <c r="AW23" s="11"/>
      <c r="AX23" s="8" t="s">
        <v>131</v>
      </c>
      <c r="AY23" s="8" t="s">
        <v>130</v>
      </c>
      <c r="AZ23" s="8" t="s">
        <v>88</v>
      </c>
      <c r="BA23" s="8" t="s">
        <v>131</v>
      </c>
      <c r="BB23" s="8" t="s">
        <v>110</v>
      </c>
      <c r="BC23" s="8" t="s">
        <v>114</v>
      </c>
    </row>
    <row r="24" spans="1:55" x14ac:dyDescent="0.25">
      <c r="A24" s="6">
        <f t="shared" si="0"/>
        <v>23</v>
      </c>
      <c r="B24" s="9">
        <v>45748</v>
      </c>
      <c r="C24" s="8" t="s">
        <v>48</v>
      </c>
      <c r="D24" s="8">
        <v>1545</v>
      </c>
      <c r="E24" s="8"/>
      <c r="F24" s="8" t="s">
        <v>89</v>
      </c>
      <c r="G24" s="8" t="s">
        <v>53</v>
      </c>
      <c r="H24" s="8" t="s">
        <v>111</v>
      </c>
      <c r="I24" s="8" t="s">
        <v>53</v>
      </c>
      <c r="J24" s="8" t="s">
        <v>49</v>
      </c>
      <c r="K24" s="8" t="s">
        <v>132</v>
      </c>
      <c r="L24" s="8" t="s">
        <v>114</v>
      </c>
      <c r="M24" s="8" t="s">
        <v>137</v>
      </c>
      <c r="N24" s="8">
        <v>13400</v>
      </c>
      <c r="O24" s="14">
        <v>0</v>
      </c>
      <c r="P24" s="14">
        <v>0</v>
      </c>
      <c r="Q24" s="14">
        <v>13400</v>
      </c>
      <c r="R24" s="11">
        <v>8100</v>
      </c>
      <c r="S24" s="15" t="s">
        <v>148</v>
      </c>
      <c r="T24" s="8"/>
      <c r="U24" s="7">
        <v>45766</v>
      </c>
      <c r="V24" s="7" t="s">
        <v>139</v>
      </c>
      <c r="W24" s="7">
        <v>45759</v>
      </c>
      <c r="X24" s="8" t="s">
        <v>50</v>
      </c>
      <c r="Y24" s="8"/>
      <c r="Z24" s="8"/>
      <c r="AA24" s="8"/>
      <c r="AB24" s="8"/>
      <c r="AC24" s="8"/>
      <c r="AD24" s="8"/>
      <c r="AE24" s="7" t="s">
        <v>131</v>
      </c>
      <c r="AF24" s="8">
        <v>5400</v>
      </c>
      <c r="AG24" s="8">
        <v>6500</v>
      </c>
      <c r="AH24" s="8"/>
      <c r="AI24" s="8"/>
      <c r="AJ24" s="8">
        <v>1500</v>
      </c>
      <c r="AK24" s="8"/>
      <c r="AL24" s="8"/>
      <c r="AM24" s="8"/>
      <c r="AN24" s="8"/>
      <c r="AO24" s="8"/>
      <c r="AP24" s="14" t="s">
        <v>152</v>
      </c>
      <c r="AQ24" s="15" t="s">
        <v>148</v>
      </c>
      <c r="AR24" s="11"/>
      <c r="AS24" s="11">
        <f>N24-R24</f>
        <v>5300</v>
      </c>
      <c r="AT24" s="11"/>
      <c r="AU24" s="11"/>
      <c r="AV24" s="11"/>
      <c r="AW24" s="11"/>
      <c r="AX24" s="8" t="s">
        <v>131</v>
      </c>
      <c r="AY24" s="8">
        <v>54706305</v>
      </c>
      <c r="AZ24" s="8" t="s">
        <v>90</v>
      </c>
      <c r="BA24" s="8" t="s">
        <v>131</v>
      </c>
      <c r="BB24" s="8" t="s">
        <v>112</v>
      </c>
      <c r="BC24" s="8" t="s">
        <v>114</v>
      </c>
    </row>
    <row r="25" spans="1:55" x14ac:dyDescent="0.25">
      <c r="A25" s="6">
        <f t="shared" si="0"/>
        <v>24</v>
      </c>
      <c r="B25" s="9">
        <v>45748</v>
      </c>
      <c r="C25" s="8" t="s">
        <v>141</v>
      </c>
      <c r="D25" s="10">
        <v>1307</v>
      </c>
      <c r="E25" s="8"/>
      <c r="F25" s="8" t="s">
        <v>142</v>
      </c>
      <c r="G25" s="8" t="s">
        <v>53</v>
      </c>
      <c r="H25" s="8" t="s">
        <v>106</v>
      </c>
      <c r="I25" s="8" t="s">
        <v>53</v>
      </c>
      <c r="J25" s="8" t="s">
        <v>49</v>
      </c>
      <c r="K25" s="8" t="s">
        <v>134</v>
      </c>
      <c r="L25" s="8" t="s">
        <v>113</v>
      </c>
      <c r="M25" s="8" t="s">
        <v>135</v>
      </c>
      <c r="N25" s="8">
        <v>13000</v>
      </c>
      <c r="O25" s="14">
        <v>0</v>
      </c>
      <c r="P25" s="14">
        <v>0</v>
      </c>
      <c r="Q25" s="14">
        <v>13000</v>
      </c>
      <c r="R25" s="11">
        <v>14500</v>
      </c>
      <c r="S25" s="15" t="s">
        <v>148</v>
      </c>
      <c r="T25" s="11"/>
      <c r="U25" s="7">
        <v>45749</v>
      </c>
      <c r="V25" s="7" t="s">
        <v>139</v>
      </c>
      <c r="W25" s="7">
        <v>45759</v>
      </c>
      <c r="X25" s="8" t="s">
        <v>50</v>
      </c>
      <c r="Y25" s="8"/>
      <c r="Z25" s="8"/>
      <c r="AA25" s="8"/>
      <c r="AB25" s="8"/>
      <c r="AC25" s="8"/>
      <c r="AD25" s="8"/>
      <c r="AE25" s="7" t="s">
        <v>131</v>
      </c>
      <c r="AF25" s="8">
        <v>4000</v>
      </c>
      <c r="AG25" s="8">
        <v>2300</v>
      </c>
      <c r="AH25" s="8">
        <v>2000</v>
      </c>
      <c r="AI25" s="8">
        <v>700</v>
      </c>
      <c r="AJ25" s="8">
        <v>1500</v>
      </c>
      <c r="AK25" s="8">
        <v>2500</v>
      </c>
      <c r="AL25" s="11"/>
      <c r="AM25" s="11"/>
      <c r="AN25" s="11"/>
      <c r="AO25" s="11"/>
      <c r="AP25" s="14" t="s">
        <v>152</v>
      </c>
      <c r="AQ25" s="15" t="s">
        <v>149</v>
      </c>
      <c r="AR25" s="11" t="s">
        <v>155</v>
      </c>
      <c r="AS25" s="11">
        <f>N25-R25</f>
        <v>-1500</v>
      </c>
      <c r="AT25" s="11"/>
      <c r="AU25" s="11"/>
      <c r="AV25" s="11"/>
      <c r="AW25" s="11"/>
      <c r="AX25" s="8" t="s">
        <v>131</v>
      </c>
      <c r="AY25" s="8">
        <v>54058934</v>
      </c>
      <c r="AZ25" s="8" t="s">
        <v>143</v>
      </c>
      <c r="BA25" s="8" t="s">
        <v>131</v>
      </c>
      <c r="BB25" s="8" t="s">
        <v>53</v>
      </c>
      <c r="BC25" s="8" t="s">
        <v>113</v>
      </c>
    </row>
    <row r="26" spans="1:55" x14ac:dyDescent="0.25">
      <c r="A26" s="8">
        <f t="shared" ref="A26:A38" si="2">ROW()-1</f>
        <v>25</v>
      </c>
      <c r="B26" s="9">
        <v>45778</v>
      </c>
      <c r="C26" s="8" t="s">
        <v>162</v>
      </c>
      <c r="D26" s="8">
        <v>1681</v>
      </c>
      <c r="E26" s="8"/>
      <c r="F26" s="8" t="s">
        <v>165</v>
      </c>
      <c r="G26" s="8" t="s">
        <v>167</v>
      </c>
      <c r="H26" s="8" t="s">
        <v>168</v>
      </c>
      <c r="I26" s="8" t="s">
        <v>56</v>
      </c>
      <c r="J26" s="8" t="s">
        <v>49</v>
      </c>
      <c r="K26" s="8" t="s">
        <v>133</v>
      </c>
      <c r="L26" s="8" t="s">
        <v>114</v>
      </c>
      <c r="M26" s="8" t="s">
        <v>170</v>
      </c>
      <c r="N26" s="8">
        <v>15700</v>
      </c>
      <c r="O26" s="11"/>
      <c r="P26" s="11"/>
      <c r="Q26" s="11">
        <v>15700</v>
      </c>
      <c r="R26" s="11">
        <v>14500</v>
      </c>
      <c r="S26" s="8" t="s">
        <v>171</v>
      </c>
      <c r="T26" s="8"/>
      <c r="U26" s="7">
        <v>45783</v>
      </c>
      <c r="V26" s="8" t="s">
        <v>170</v>
      </c>
      <c r="W26" s="7">
        <v>45778</v>
      </c>
      <c r="X26" s="8" t="s">
        <v>50</v>
      </c>
      <c r="Y26" s="8"/>
      <c r="Z26" s="8"/>
      <c r="AA26" s="8"/>
      <c r="AB26" s="8"/>
      <c r="AC26" s="8"/>
      <c r="AD26" s="8"/>
      <c r="AE26" s="7">
        <v>45793</v>
      </c>
      <c r="AF26" s="8">
        <v>7700</v>
      </c>
      <c r="AG26" s="8">
        <v>6500</v>
      </c>
      <c r="AH26" s="8"/>
      <c r="AI26" s="8"/>
      <c r="AJ26" s="8">
        <v>1500</v>
      </c>
      <c r="AK26" s="8"/>
      <c r="AL26" s="8"/>
      <c r="AM26" s="8"/>
      <c r="AN26" s="8"/>
      <c r="AO26" s="8"/>
      <c r="AP26" s="11"/>
      <c r="AQ26" s="11"/>
      <c r="AR26" s="11"/>
      <c r="AS26" s="11">
        <f>N26-R26</f>
        <v>1200</v>
      </c>
      <c r="AT26" s="11"/>
      <c r="AU26" s="11"/>
      <c r="AV26" s="11"/>
      <c r="AW26" s="11"/>
      <c r="AX26" s="8" t="s">
        <v>164</v>
      </c>
      <c r="AY26" s="8" t="s">
        <v>163</v>
      </c>
      <c r="AZ26" s="8" t="s">
        <v>166</v>
      </c>
      <c r="BA26" s="8" t="s">
        <v>131</v>
      </c>
      <c r="BB26" s="8" t="s">
        <v>169</v>
      </c>
      <c r="BC26" s="8" t="s">
        <v>114</v>
      </c>
    </row>
    <row r="27" spans="1:55" x14ac:dyDescent="0.25">
      <c r="A27" s="8">
        <f t="shared" si="2"/>
        <v>26</v>
      </c>
      <c r="B27" s="9">
        <v>45778</v>
      </c>
      <c r="C27" s="8" t="s">
        <v>172</v>
      </c>
      <c r="D27" s="8">
        <v>1650</v>
      </c>
      <c r="E27" s="8"/>
      <c r="F27" s="8" t="s">
        <v>173</v>
      </c>
      <c r="G27" s="8" t="s">
        <v>72</v>
      </c>
      <c r="H27" s="8" t="s">
        <v>175</v>
      </c>
      <c r="I27" s="8" t="s">
        <v>53</v>
      </c>
      <c r="J27" s="8" t="s">
        <v>49</v>
      </c>
      <c r="K27" s="8" t="s">
        <v>132</v>
      </c>
      <c r="L27" s="8" t="s">
        <v>114</v>
      </c>
      <c r="M27" s="8" t="s">
        <v>137</v>
      </c>
      <c r="N27" s="8">
        <v>13400</v>
      </c>
      <c r="O27" s="11"/>
      <c r="P27" s="11"/>
      <c r="Q27" s="11">
        <v>13400</v>
      </c>
      <c r="R27" s="11">
        <v>11800</v>
      </c>
      <c r="S27" s="8" t="s">
        <v>171</v>
      </c>
      <c r="T27" s="8"/>
      <c r="U27" s="7">
        <v>45775</v>
      </c>
      <c r="V27" s="8" t="s">
        <v>137</v>
      </c>
      <c r="W27" s="7">
        <v>45770</v>
      </c>
      <c r="X27" s="8" t="s">
        <v>50</v>
      </c>
      <c r="Y27" s="8"/>
      <c r="Z27" s="8"/>
      <c r="AA27" s="8"/>
      <c r="AB27" s="8"/>
      <c r="AC27" s="8"/>
      <c r="AD27" s="8"/>
      <c r="AE27" s="7" t="s">
        <v>131</v>
      </c>
      <c r="AF27" s="8">
        <v>5400</v>
      </c>
      <c r="AG27" s="8">
        <v>6500</v>
      </c>
      <c r="AH27" s="8"/>
      <c r="AI27" s="8"/>
      <c r="AJ27" s="8">
        <v>1500</v>
      </c>
      <c r="AK27" s="8"/>
      <c r="AL27" s="8"/>
      <c r="AM27" s="8"/>
      <c r="AN27" s="8"/>
      <c r="AO27" s="8"/>
      <c r="AP27" s="11"/>
      <c r="AQ27" s="11"/>
      <c r="AR27" s="11"/>
      <c r="AS27" s="11">
        <f>N27-R27</f>
        <v>1600</v>
      </c>
      <c r="AT27" s="11"/>
      <c r="AU27" s="11"/>
      <c r="AV27" s="11"/>
      <c r="AW27" s="11"/>
      <c r="AX27" s="8" t="s">
        <v>164</v>
      </c>
      <c r="AY27" s="8">
        <v>60812623</v>
      </c>
      <c r="AZ27" s="8" t="s">
        <v>174</v>
      </c>
      <c r="BA27" s="8" t="s">
        <v>131</v>
      </c>
      <c r="BB27" s="8" t="s">
        <v>94</v>
      </c>
      <c r="BC27" s="8" t="s">
        <v>114</v>
      </c>
    </row>
    <row r="28" spans="1:55" x14ac:dyDescent="0.25">
      <c r="A28" s="8">
        <f t="shared" si="2"/>
        <v>27</v>
      </c>
      <c r="B28" s="9">
        <v>45778</v>
      </c>
      <c r="C28" s="8" t="s">
        <v>176</v>
      </c>
      <c r="D28" s="8">
        <v>1695</v>
      </c>
      <c r="E28" s="8"/>
      <c r="F28" s="8" t="s">
        <v>178</v>
      </c>
      <c r="G28" s="8" t="s">
        <v>53</v>
      </c>
      <c r="H28" s="8" t="s">
        <v>91</v>
      </c>
      <c r="I28" s="8" t="s">
        <v>53</v>
      </c>
      <c r="J28" s="8" t="s">
        <v>49</v>
      </c>
      <c r="K28" s="8" t="s">
        <v>134</v>
      </c>
      <c r="L28" s="8" t="s">
        <v>113</v>
      </c>
      <c r="M28" s="8" t="s">
        <v>135</v>
      </c>
      <c r="N28" s="8">
        <v>12500</v>
      </c>
      <c r="O28" s="11"/>
      <c r="P28" s="11"/>
      <c r="Q28" s="11">
        <v>12500</v>
      </c>
      <c r="R28" s="11">
        <v>11000</v>
      </c>
      <c r="S28" s="8" t="s">
        <v>171</v>
      </c>
      <c r="T28" s="8"/>
      <c r="U28" s="7">
        <v>45785</v>
      </c>
      <c r="V28" s="8" t="s">
        <v>135</v>
      </c>
      <c r="W28" s="7">
        <v>45781</v>
      </c>
      <c r="X28" s="8" t="s">
        <v>50</v>
      </c>
      <c r="Y28" s="8"/>
      <c r="Z28" s="8"/>
      <c r="AA28" s="8"/>
      <c r="AB28" s="8"/>
      <c r="AC28" s="8"/>
      <c r="AD28" s="8"/>
      <c r="AE28" s="7" t="s">
        <v>131</v>
      </c>
      <c r="AF28" s="8">
        <v>4000</v>
      </c>
      <c r="AG28" s="8">
        <v>2300</v>
      </c>
      <c r="AH28" s="8">
        <v>2000</v>
      </c>
      <c r="AI28" s="8">
        <v>700</v>
      </c>
      <c r="AJ28" s="8">
        <v>1500</v>
      </c>
      <c r="AK28" s="8">
        <v>2000</v>
      </c>
      <c r="AL28" s="8"/>
      <c r="AM28" s="8"/>
      <c r="AN28" s="8"/>
      <c r="AO28" s="8"/>
      <c r="AP28" s="11"/>
      <c r="AQ28" s="11"/>
      <c r="AR28" s="11"/>
      <c r="AS28" s="11">
        <f>N28-R28</f>
        <v>1500</v>
      </c>
      <c r="AT28" s="11"/>
      <c r="AU28" s="11"/>
      <c r="AV28" s="11"/>
      <c r="AW28" s="11"/>
      <c r="AX28" s="8" t="s">
        <v>161</v>
      </c>
      <c r="AY28" s="8" t="s">
        <v>177</v>
      </c>
      <c r="AZ28" s="8" t="s">
        <v>179</v>
      </c>
      <c r="BA28" s="8" t="s">
        <v>131</v>
      </c>
      <c r="BB28" s="8" t="s">
        <v>94</v>
      </c>
      <c r="BC28" s="8" t="s">
        <v>113</v>
      </c>
    </row>
    <row r="29" spans="1:55" x14ac:dyDescent="0.25">
      <c r="A29" s="8">
        <f t="shared" si="2"/>
        <v>28</v>
      </c>
      <c r="B29" s="9">
        <v>45778</v>
      </c>
      <c r="C29" s="8" t="s">
        <v>180</v>
      </c>
      <c r="D29" s="8">
        <v>1660</v>
      </c>
      <c r="E29" s="8"/>
      <c r="F29" s="8" t="s">
        <v>182</v>
      </c>
      <c r="G29" s="8" t="s">
        <v>53</v>
      </c>
      <c r="H29" s="8" t="s">
        <v>91</v>
      </c>
      <c r="I29" s="8" t="s">
        <v>53</v>
      </c>
      <c r="J29" s="8" t="s">
        <v>49</v>
      </c>
      <c r="K29" s="8" t="s">
        <v>134</v>
      </c>
      <c r="L29" s="8" t="s">
        <v>113</v>
      </c>
      <c r="M29" s="8" t="s">
        <v>135</v>
      </c>
      <c r="N29" s="8">
        <v>12500</v>
      </c>
      <c r="O29" s="11"/>
      <c r="P29" s="11"/>
      <c r="Q29" s="11">
        <v>12500</v>
      </c>
      <c r="R29" s="11">
        <v>11000</v>
      </c>
      <c r="S29" s="8" t="s">
        <v>171</v>
      </c>
      <c r="T29" s="8"/>
      <c r="U29" s="7">
        <v>45775</v>
      </c>
      <c r="V29" s="8" t="s">
        <v>135</v>
      </c>
      <c r="W29" s="7">
        <v>45771</v>
      </c>
      <c r="X29" s="8" t="s">
        <v>50</v>
      </c>
      <c r="Y29" s="8"/>
      <c r="Z29" s="8"/>
      <c r="AA29" s="8"/>
      <c r="AB29" s="8"/>
      <c r="AC29" s="8"/>
      <c r="AD29" s="8"/>
      <c r="AE29" s="7" t="s">
        <v>131</v>
      </c>
      <c r="AF29" s="8">
        <v>4000</v>
      </c>
      <c r="AG29" s="8">
        <v>2300</v>
      </c>
      <c r="AH29" s="8">
        <v>2000</v>
      </c>
      <c r="AI29" s="8">
        <v>700</v>
      </c>
      <c r="AJ29" s="8">
        <v>1500</v>
      </c>
      <c r="AK29" s="8">
        <v>2000</v>
      </c>
      <c r="AL29" s="8"/>
      <c r="AM29" s="8"/>
      <c r="AN29" s="8"/>
      <c r="AO29" s="8"/>
      <c r="AP29" s="11"/>
      <c r="AQ29" s="11"/>
      <c r="AR29" s="11"/>
      <c r="AS29" s="11">
        <f>N29-R29</f>
        <v>1500</v>
      </c>
      <c r="AT29" s="11"/>
      <c r="AU29" s="11"/>
      <c r="AV29" s="11"/>
      <c r="AW29" s="11"/>
      <c r="AX29" s="8" t="s">
        <v>161</v>
      </c>
      <c r="AY29" s="8" t="s">
        <v>181</v>
      </c>
      <c r="AZ29" s="8" t="s">
        <v>71</v>
      </c>
      <c r="BA29" s="8" t="s">
        <v>131</v>
      </c>
      <c r="BB29" s="8" t="s">
        <v>92</v>
      </c>
      <c r="BC29" s="8" t="s">
        <v>113</v>
      </c>
    </row>
    <row r="30" spans="1:55" x14ac:dyDescent="0.25">
      <c r="A30" s="8">
        <f t="shared" si="2"/>
        <v>29</v>
      </c>
      <c r="B30" s="9">
        <v>45778</v>
      </c>
      <c r="C30" s="8" t="s">
        <v>183</v>
      </c>
      <c r="D30" s="8">
        <v>1543</v>
      </c>
      <c r="E30" s="8"/>
      <c r="F30" s="8" t="s">
        <v>184</v>
      </c>
      <c r="G30" s="8" t="s">
        <v>53</v>
      </c>
      <c r="H30" s="8" t="s">
        <v>185</v>
      </c>
      <c r="I30" s="8" t="s">
        <v>53</v>
      </c>
      <c r="J30" s="8" t="s">
        <v>49</v>
      </c>
      <c r="K30" s="8" t="s">
        <v>134</v>
      </c>
      <c r="L30" s="8" t="s">
        <v>114</v>
      </c>
      <c r="M30" s="8" t="s">
        <v>186</v>
      </c>
      <c r="N30" s="8">
        <v>12500</v>
      </c>
      <c r="O30" s="11"/>
      <c r="P30" s="11"/>
      <c r="Q30" s="11">
        <v>12500</v>
      </c>
      <c r="R30" s="11">
        <v>11000</v>
      </c>
      <c r="S30" s="8" t="s">
        <v>171</v>
      </c>
      <c r="T30" s="8"/>
      <c r="U30" s="7">
        <v>45773</v>
      </c>
      <c r="V30" s="8" t="s">
        <v>186</v>
      </c>
      <c r="W30" s="7">
        <v>45759</v>
      </c>
      <c r="X30" s="8" t="s">
        <v>50</v>
      </c>
      <c r="Y30" s="8"/>
      <c r="Z30" s="8"/>
      <c r="AA30" s="8"/>
      <c r="AB30" s="8"/>
      <c r="AC30" s="8"/>
      <c r="AD30" s="8"/>
      <c r="AE30" s="7">
        <v>45773</v>
      </c>
      <c r="AF30" s="8">
        <v>4000</v>
      </c>
      <c r="AG30" s="8">
        <v>2300</v>
      </c>
      <c r="AH30" s="8">
        <v>2000</v>
      </c>
      <c r="AI30" s="8">
        <v>700</v>
      </c>
      <c r="AJ30" s="8">
        <v>1500</v>
      </c>
      <c r="AK30" s="8">
        <v>2000</v>
      </c>
      <c r="AL30" s="8"/>
      <c r="AM30" s="8"/>
      <c r="AN30" s="8"/>
      <c r="AO30" s="8"/>
      <c r="AP30" s="11"/>
      <c r="AQ30" s="11"/>
      <c r="AR30" s="11"/>
      <c r="AS30" s="11">
        <f>N30-R30</f>
        <v>1500</v>
      </c>
      <c r="AT30" s="11"/>
      <c r="AU30" s="11"/>
      <c r="AV30" s="11"/>
      <c r="AW30" s="11"/>
      <c r="AX30" s="8" t="s">
        <v>164</v>
      </c>
      <c r="AY30" s="8">
        <v>90019472</v>
      </c>
      <c r="AZ30" s="8" t="s">
        <v>71</v>
      </c>
      <c r="BA30" s="8" t="s">
        <v>131</v>
      </c>
      <c r="BB30" s="8" t="s">
        <v>143</v>
      </c>
      <c r="BC30" s="8" t="s">
        <v>114</v>
      </c>
    </row>
    <row r="31" spans="1:55" x14ac:dyDescent="0.25">
      <c r="A31" s="8">
        <f t="shared" si="2"/>
        <v>30</v>
      </c>
      <c r="B31" s="9">
        <v>45778</v>
      </c>
      <c r="C31" s="8" t="s">
        <v>187</v>
      </c>
      <c r="D31" s="10">
        <v>1732</v>
      </c>
      <c r="E31" s="8"/>
      <c r="F31" s="10" t="s">
        <v>188</v>
      </c>
      <c r="G31" s="10" t="s">
        <v>53</v>
      </c>
      <c r="H31" s="10" t="s">
        <v>190</v>
      </c>
      <c r="I31" s="10" t="s">
        <v>53</v>
      </c>
      <c r="J31" s="8" t="s">
        <v>49</v>
      </c>
      <c r="K31" s="10" t="s">
        <v>134</v>
      </c>
      <c r="L31" s="10" t="s">
        <v>114</v>
      </c>
      <c r="M31" s="10" t="s">
        <v>137</v>
      </c>
      <c r="N31" s="8">
        <v>5000</v>
      </c>
      <c r="O31" s="11"/>
      <c r="P31" s="11"/>
      <c r="Q31" s="11">
        <v>5000</v>
      </c>
      <c r="R31" s="11">
        <v>5000</v>
      </c>
      <c r="S31" s="8" t="s">
        <v>171</v>
      </c>
      <c r="T31" s="11"/>
      <c r="U31" s="7">
        <v>45794</v>
      </c>
      <c r="V31" s="10" t="s">
        <v>191</v>
      </c>
      <c r="W31" s="7">
        <v>45793</v>
      </c>
      <c r="X31" s="8" t="s">
        <v>50</v>
      </c>
      <c r="Y31" s="8"/>
      <c r="Z31" s="10"/>
      <c r="AA31" s="10"/>
      <c r="AB31" s="10"/>
      <c r="AC31" s="10"/>
      <c r="AD31" s="10"/>
      <c r="AE31" s="7" t="s">
        <v>131</v>
      </c>
      <c r="AF31" s="8"/>
      <c r="AG31" s="8"/>
      <c r="AH31" s="8"/>
      <c r="AI31" s="8"/>
      <c r="AJ31" s="8"/>
      <c r="AK31" s="8"/>
      <c r="AL31" s="8">
        <v>5000</v>
      </c>
      <c r="AM31" s="8"/>
      <c r="AN31" s="11"/>
      <c r="AO31" s="11"/>
      <c r="AP31" s="11"/>
      <c r="AQ31" s="11"/>
      <c r="AR31" s="11"/>
      <c r="AS31" s="11">
        <f>N31-R31</f>
        <v>0</v>
      </c>
      <c r="AT31" s="11"/>
      <c r="AU31" s="11"/>
      <c r="AV31" s="11"/>
      <c r="AW31" s="11"/>
      <c r="AX31" s="8" t="s">
        <v>164</v>
      </c>
      <c r="AY31" s="10" t="s">
        <v>131</v>
      </c>
      <c r="AZ31" s="10" t="s">
        <v>189</v>
      </c>
      <c r="BA31" s="10" t="s">
        <v>131</v>
      </c>
      <c r="BB31" s="10" t="s">
        <v>53</v>
      </c>
      <c r="BC31" s="10" t="s">
        <v>114</v>
      </c>
    </row>
    <row r="32" spans="1:55" x14ac:dyDescent="0.25">
      <c r="A32" s="8">
        <f t="shared" si="2"/>
        <v>31</v>
      </c>
      <c r="B32" s="9">
        <v>45778</v>
      </c>
      <c r="C32" s="8" t="s">
        <v>192</v>
      </c>
      <c r="D32" s="10">
        <v>1736</v>
      </c>
      <c r="E32" s="8"/>
      <c r="F32" s="10" t="s">
        <v>194</v>
      </c>
      <c r="G32" s="10" t="s">
        <v>77</v>
      </c>
      <c r="H32" s="10" t="s">
        <v>196</v>
      </c>
      <c r="I32" s="10" t="s">
        <v>77</v>
      </c>
      <c r="J32" s="8" t="s">
        <v>49</v>
      </c>
      <c r="K32" s="10" t="s">
        <v>132</v>
      </c>
      <c r="L32" s="10" t="s">
        <v>114</v>
      </c>
      <c r="M32" s="10" t="s">
        <v>137</v>
      </c>
      <c r="N32" s="8">
        <v>4200</v>
      </c>
      <c r="O32" s="11"/>
      <c r="P32" s="11"/>
      <c r="Q32" s="11">
        <v>4200</v>
      </c>
      <c r="R32" s="11">
        <v>21000</v>
      </c>
      <c r="S32" s="8" t="s">
        <v>171</v>
      </c>
      <c r="T32" s="11"/>
      <c r="U32" s="7">
        <v>45794</v>
      </c>
      <c r="V32" s="10" t="s">
        <v>191</v>
      </c>
      <c r="W32" s="7">
        <v>45793</v>
      </c>
      <c r="X32" s="8" t="s">
        <v>50</v>
      </c>
      <c r="Y32" s="8"/>
      <c r="Z32" s="10"/>
      <c r="AA32" s="10"/>
      <c r="AB32" s="10"/>
      <c r="AC32" s="10"/>
      <c r="AD32" s="10"/>
      <c r="AE32" s="7" t="s">
        <v>131</v>
      </c>
      <c r="AF32" s="8"/>
      <c r="AG32" s="8">
        <v>4200</v>
      </c>
      <c r="AH32" s="8"/>
      <c r="AI32" s="8"/>
      <c r="AJ32" s="8"/>
      <c r="AK32" s="8"/>
      <c r="AL32" s="8"/>
      <c r="AM32" s="8"/>
      <c r="AN32" s="11"/>
      <c r="AO32" s="11"/>
      <c r="AP32" s="11"/>
      <c r="AQ32" s="11"/>
      <c r="AR32" s="11"/>
      <c r="AS32" s="11">
        <f>26100-R32</f>
        <v>5100</v>
      </c>
      <c r="AT32" s="11"/>
      <c r="AU32" s="11">
        <f>13400+4200</f>
        <v>17600</v>
      </c>
      <c r="AV32" s="11">
        <v>8500</v>
      </c>
      <c r="AW32" s="11" t="s">
        <v>219</v>
      </c>
      <c r="AX32" s="8" t="s">
        <v>164</v>
      </c>
      <c r="AY32" s="10" t="s">
        <v>193</v>
      </c>
      <c r="AZ32" s="10" t="s">
        <v>195</v>
      </c>
      <c r="BA32" s="10" t="s">
        <v>131</v>
      </c>
      <c r="BB32" s="10" t="s">
        <v>197</v>
      </c>
      <c r="BC32" s="10" t="s">
        <v>114</v>
      </c>
    </row>
    <row r="33" spans="1:55" x14ac:dyDescent="0.25">
      <c r="A33" s="8">
        <f t="shared" si="2"/>
        <v>32</v>
      </c>
      <c r="B33" s="9">
        <v>45778</v>
      </c>
      <c r="C33" s="8" t="s">
        <v>198</v>
      </c>
      <c r="D33" s="10">
        <v>1734</v>
      </c>
      <c r="E33" s="8"/>
      <c r="F33" s="10" t="s">
        <v>199</v>
      </c>
      <c r="G33" s="10" t="s">
        <v>56</v>
      </c>
      <c r="H33" s="10" t="s">
        <v>201</v>
      </c>
      <c r="I33" s="10" t="s">
        <v>56</v>
      </c>
      <c r="J33" s="8" t="s">
        <v>49</v>
      </c>
      <c r="K33" s="10" t="s">
        <v>132</v>
      </c>
      <c r="L33" s="10" t="s">
        <v>113</v>
      </c>
      <c r="M33" s="10" t="s">
        <v>135</v>
      </c>
      <c r="N33" s="8">
        <v>4200</v>
      </c>
      <c r="O33" s="11"/>
      <c r="P33" s="11"/>
      <c r="Q33" s="11">
        <v>4200</v>
      </c>
      <c r="R33" s="11">
        <v>15500</v>
      </c>
      <c r="S33" s="8" t="s">
        <v>171</v>
      </c>
      <c r="T33" s="11"/>
      <c r="U33" s="7">
        <v>45785</v>
      </c>
      <c r="V33" s="10" t="s">
        <v>202</v>
      </c>
      <c r="W33" s="7">
        <v>45793</v>
      </c>
      <c r="X33" s="8" t="s">
        <v>50</v>
      </c>
      <c r="Y33" s="8"/>
      <c r="Z33" s="10"/>
      <c r="AA33" s="10"/>
      <c r="AB33" s="10"/>
      <c r="AC33" s="10"/>
      <c r="AD33" s="10"/>
      <c r="AE33" s="7" t="s">
        <v>131</v>
      </c>
      <c r="AF33" s="8"/>
      <c r="AG33" s="8">
        <v>4200</v>
      </c>
      <c r="AH33" s="8"/>
      <c r="AI33" s="8"/>
      <c r="AJ33" s="8"/>
      <c r="AK33" s="8"/>
      <c r="AL33" s="8"/>
      <c r="AM33" s="8"/>
      <c r="AN33" s="11"/>
      <c r="AO33" s="11"/>
      <c r="AP33" s="11"/>
      <c r="AQ33" s="11"/>
      <c r="AR33" s="11"/>
      <c r="AS33" s="11">
        <f>AU33-R33</f>
        <v>6800</v>
      </c>
      <c r="AT33" s="11"/>
      <c r="AU33" s="11">
        <f>18100+4200</f>
        <v>22300</v>
      </c>
      <c r="AV33" s="11"/>
      <c r="AW33" s="11" t="s">
        <v>220</v>
      </c>
      <c r="AX33" s="8" t="s">
        <v>161</v>
      </c>
      <c r="AY33" s="10" t="s">
        <v>131</v>
      </c>
      <c r="AZ33" s="10" t="s">
        <v>200</v>
      </c>
      <c r="BA33" s="10" t="s">
        <v>131</v>
      </c>
      <c r="BB33" s="10" t="s">
        <v>93</v>
      </c>
      <c r="BC33" s="10" t="s">
        <v>113</v>
      </c>
    </row>
    <row r="34" spans="1:55" x14ac:dyDescent="0.25">
      <c r="A34" s="8">
        <f t="shared" si="2"/>
        <v>33</v>
      </c>
      <c r="B34" s="9">
        <v>45778</v>
      </c>
      <c r="C34" s="8" t="s">
        <v>203</v>
      </c>
      <c r="D34" s="10">
        <v>1738</v>
      </c>
      <c r="E34" s="8"/>
      <c r="F34" s="10" t="s">
        <v>205</v>
      </c>
      <c r="G34" s="10" t="s">
        <v>56</v>
      </c>
      <c r="H34" s="10" t="s">
        <v>201</v>
      </c>
      <c r="I34" s="10" t="s">
        <v>56</v>
      </c>
      <c r="J34" s="8" t="s">
        <v>49</v>
      </c>
      <c r="K34" s="10" t="s">
        <v>132</v>
      </c>
      <c r="L34" s="10" t="s">
        <v>113</v>
      </c>
      <c r="M34" s="10" t="s">
        <v>135</v>
      </c>
      <c r="N34" s="8">
        <v>4200</v>
      </c>
      <c r="O34" s="11"/>
      <c r="P34" s="11"/>
      <c r="Q34" s="11">
        <v>4200</v>
      </c>
      <c r="R34" s="11">
        <v>16000</v>
      </c>
      <c r="S34" s="8" t="s">
        <v>171</v>
      </c>
      <c r="T34" s="11"/>
      <c r="U34" s="7">
        <v>45775</v>
      </c>
      <c r="V34" s="10" t="s">
        <v>202</v>
      </c>
      <c r="W34" s="7">
        <v>45793</v>
      </c>
      <c r="X34" s="8" t="s">
        <v>50</v>
      </c>
      <c r="Y34" s="8"/>
      <c r="Z34" s="10"/>
      <c r="AA34" s="10"/>
      <c r="AB34" s="10"/>
      <c r="AC34" s="10"/>
      <c r="AD34" s="10"/>
      <c r="AE34" s="7" t="s">
        <v>131</v>
      </c>
      <c r="AF34" s="8"/>
      <c r="AG34" s="8">
        <v>4200</v>
      </c>
      <c r="AH34" s="8"/>
      <c r="AI34" s="8"/>
      <c r="AJ34" s="8"/>
      <c r="AK34" s="8"/>
      <c r="AL34" s="8"/>
      <c r="AM34" s="8"/>
      <c r="AN34" s="11"/>
      <c r="AO34" s="11"/>
      <c r="AP34" s="11"/>
      <c r="AQ34" s="11"/>
      <c r="AR34" s="11"/>
      <c r="AS34" s="11">
        <f>AU34-R34</f>
        <v>6300</v>
      </c>
      <c r="AT34" s="11"/>
      <c r="AU34" s="11">
        <f>18100+4200</f>
        <v>22300</v>
      </c>
      <c r="AV34" s="11"/>
      <c r="AW34" s="11">
        <v>1385</v>
      </c>
      <c r="AX34" s="8" t="s">
        <v>161</v>
      </c>
      <c r="AY34" s="10" t="s">
        <v>204</v>
      </c>
      <c r="AZ34" s="10" t="s">
        <v>200</v>
      </c>
      <c r="BA34" s="10" t="s">
        <v>131</v>
      </c>
      <c r="BB34" s="10" t="s">
        <v>93</v>
      </c>
      <c r="BC34" s="10" t="s">
        <v>113</v>
      </c>
    </row>
    <row r="35" spans="1:55" x14ac:dyDescent="0.25">
      <c r="A35" s="8">
        <f t="shared" si="2"/>
        <v>34</v>
      </c>
      <c r="B35" s="9">
        <v>45778</v>
      </c>
      <c r="C35" s="8" t="s">
        <v>206</v>
      </c>
      <c r="D35" s="10">
        <v>1739</v>
      </c>
      <c r="E35" s="8"/>
      <c r="F35" s="10" t="s">
        <v>205</v>
      </c>
      <c r="G35" s="10" t="s">
        <v>56</v>
      </c>
      <c r="H35" s="10" t="s">
        <v>201</v>
      </c>
      <c r="I35" s="10" t="s">
        <v>56</v>
      </c>
      <c r="J35" s="8" t="s">
        <v>49</v>
      </c>
      <c r="K35" s="10" t="s">
        <v>132</v>
      </c>
      <c r="L35" s="10" t="s">
        <v>113</v>
      </c>
      <c r="M35" s="10" t="s">
        <v>137</v>
      </c>
      <c r="N35" s="8">
        <v>4200</v>
      </c>
      <c r="O35" s="11"/>
      <c r="P35" s="11"/>
      <c r="Q35" s="11">
        <v>4200</v>
      </c>
      <c r="R35" s="11">
        <v>12000</v>
      </c>
      <c r="S35" s="8" t="s">
        <v>171</v>
      </c>
      <c r="T35" s="11"/>
      <c r="U35" s="7">
        <v>45775</v>
      </c>
      <c r="V35" s="10" t="s">
        <v>191</v>
      </c>
      <c r="W35" s="7">
        <v>45793</v>
      </c>
      <c r="X35" s="8" t="s">
        <v>50</v>
      </c>
      <c r="Y35" s="8"/>
      <c r="Z35" s="10"/>
      <c r="AA35" s="10"/>
      <c r="AB35" s="10"/>
      <c r="AC35" s="10"/>
      <c r="AD35" s="10"/>
      <c r="AE35" s="7" t="s">
        <v>131</v>
      </c>
      <c r="AF35" s="8"/>
      <c r="AG35" s="8">
        <v>4200</v>
      </c>
      <c r="AH35" s="8"/>
      <c r="AI35" s="8"/>
      <c r="AJ35" s="8"/>
      <c r="AK35" s="8"/>
      <c r="AL35" s="8"/>
      <c r="AM35" s="8"/>
      <c r="AN35" s="11"/>
      <c r="AO35" s="11"/>
      <c r="AP35" s="11"/>
      <c r="AQ35" s="11"/>
      <c r="AR35" s="11"/>
      <c r="AS35" s="11">
        <f>AU35-R35</f>
        <v>5600</v>
      </c>
      <c r="AT35" s="11"/>
      <c r="AU35" s="11">
        <f>13400+4200</f>
        <v>17600</v>
      </c>
      <c r="AV35" s="11"/>
      <c r="AW35" s="11">
        <v>1388</v>
      </c>
      <c r="AX35" s="8" t="s">
        <v>161</v>
      </c>
      <c r="AY35" s="10" t="s">
        <v>207</v>
      </c>
      <c r="AZ35" s="10" t="s">
        <v>200</v>
      </c>
      <c r="BA35" s="10" t="s">
        <v>131</v>
      </c>
      <c r="BB35" s="10" t="s">
        <v>93</v>
      </c>
      <c r="BC35" s="10" t="s">
        <v>113</v>
      </c>
    </row>
    <row r="36" spans="1:55" x14ac:dyDescent="0.25">
      <c r="A36" s="8">
        <f t="shared" si="2"/>
        <v>35</v>
      </c>
      <c r="B36" s="9">
        <v>45778</v>
      </c>
      <c r="C36" s="8" t="s">
        <v>208</v>
      </c>
      <c r="D36" s="10">
        <v>1733</v>
      </c>
      <c r="E36" s="8"/>
      <c r="F36" s="10" t="s">
        <v>209</v>
      </c>
      <c r="G36" s="10" t="s">
        <v>56</v>
      </c>
      <c r="H36" s="10" t="s">
        <v>78</v>
      </c>
      <c r="I36" s="10" t="s">
        <v>56</v>
      </c>
      <c r="J36" s="8" t="s">
        <v>49</v>
      </c>
      <c r="K36" s="10" t="s">
        <v>132</v>
      </c>
      <c r="L36" s="10" t="s">
        <v>113</v>
      </c>
      <c r="M36" s="10" t="s">
        <v>135</v>
      </c>
      <c r="N36" s="8">
        <v>4200</v>
      </c>
      <c r="O36" s="11"/>
      <c r="P36" s="11"/>
      <c r="Q36" s="11">
        <v>4200</v>
      </c>
      <c r="R36" s="11">
        <v>15500</v>
      </c>
      <c r="S36" s="8" t="s">
        <v>171</v>
      </c>
      <c r="T36" s="11"/>
      <c r="U36" s="7">
        <v>45794</v>
      </c>
      <c r="V36" s="10" t="s">
        <v>202</v>
      </c>
      <c r="W36" s="7">
        <v>45793</v>
      </c>
      <c r="X36" s="8" t="s">
        <v>50</v>
      </c>
      <c r="Y36" s="8"/>
      <c r="Z36" s="10"/>
      <c r="AA36" s="10"/>
      <c r="AB36" s="10"/>
      <c r="AC36" s="10"/>
      <c r="AD36" s="10"/>
      <c r="AE36" s="7" t="s">
        <v>131</v>
      </c>
      <c r="AF36" s="8"/>
      <c r="AG36" s="8">
        <v>4200</v>
      </c>
      <c r="AH36" s="8"/>
      <c r="AI36" s="8"/>
      <c r="AJ36" s="8"/>
      <c r="AK36" s="8"/>
      <c r="AL36" s="8"/>
      <c r="AM36" s="8"/>
      <c r="AN36" s="11"/>
      <c r="AO36" s="11"/>
      <c r="AP36" s="11"/>
      <c r="AQ36" s="11"/>
      <c r="AR36" s="11"/>
      <c r="AS36" s="11">
        <f>AU36-R36</f>
        <v>6800</v>
      </c>
      <c r="AT36" s="11"/>
      <c r="AU36" s="11">
        <f t="shared" ref="AU36:AU38" si="3">18100+4200</f>
        <v>22300</v>
      </c>
      <c r="AV36" s="11"/>
      <c r="AW36" s="10">
        <v>1244</v>
      </c>
      <c r="AX36" s="8" t="s">
        <v>161</v>
      </c>
      <c r="AY36" s="10">
        <v>62447175</v>
      </c>
      <c r="AZ36" s="10" t="s">
        <v>210</v>
      </c>
      <c r="BA36" s="10" t="s">
        <v>131</v>
      </c>
      <c r="BB36" s="10" t="s">
        <v>93</v>
      </c>
      <c r="BC36" s="10" t="s">
        <v>113</v>
      </c>
    </row>
    <row r="37" spans="1:55" x14ac:dyDescent="0.25">
      <c r="A37" s="8">
        <f t="shared" si="2"/>
        <v>36</v>
      </c>
      <c r="B37" s="9">
        <v>45778</v>
      </c>
      <c r="C37" s="8" t="s">
        <v>211</v>
      </c>
      <c r="D37" s="10">
        <v>1735</v>
      </c>
      <c r="E37" s="8"/>
      <c r="F37" s="10" t="s">
        <v>212</v>
      </c>
      <c r="G37" s="10" t="s">
        <v>56</v>
      </c>
      <c r="H37" s="10" t="s">
        <v>78</v>
      </c>
      <c r="I37" s="10" t="s">
        <v>56</v>
      </c>
      <c r="J37" s="8" t="s">
        <v>49</v>
      </c>
      <c r="K37" s="10" t="s">
        <v>132</v>
      </c>
      <c r="L37" s="10" t="s">
        <v>114</v>
      </c>
      <c r="M37" s="10" t="s">
        <v>135</v>
      </c>
      <c r="N37" s="8">
        <v>4200</v>
      </c>
      <c r="O37" s="11"/>
      <c r="P37" s="11"/>
      <c r="Q37" s="11">
        <v>4200</v>
      </c>
      <c r="R37" s="11">
        <v>15500</v>
      </c>
      <c r="S37" s="8" t="s">
        <v>171</v>
      </c>
      <c r="T37" s="11"/>
      <c r="U37" s="7">
        <v>45785</v>
      </c>
      <c r="V37" s="10" t="s">
        <v>202</v>
      </c>
      <c r="W37" s="7">
        <v>45793</v>
      </c>
      <c r="X37" s="8" t="s">
        <v>50</v>
      </c>
      <c r="Y37" s="8"/>
      <c r="Z37" s="10"/>
      <c r="AA37" s="10"/>
      <c r="AB37" s="10"/>
      <c r="AC37" s="10"/>
      <c r="AD37" s="10"/>
      <c r="AE37" s="7" t="s">
        <v>131</v>
      </c>
      <c r="AF37" s="8"/>
      <c r="AG37" s="8">
        <v>4200</v>
      </c>
      <c r="AH37" s="8"/>
      <c r="AI37" s="8"/>
      <c r="AJ37" s="8"/>
      <c r="AK37" s="8"/>
      <c r="AL37" s="8"/>
      <c r="AM37" s="8"/>
      <c r="AN37" s="11"/>
      <c r="AO37" s="11"/>
      <c r="AP37" s="11"/>
      <c r="AQ37" s="11"/>
      <c r="AR37" s="11"/>
      <c r="AS37" s="11">
        <f>AU37-R37</f>
        <v>6800</v>
      </c>
      <c r="AT37" s="11"/>
      <c r="AU37" s="11">
        <f t="shared" si="3"/>
        <v>22300</v>
      </c>
      <c r="AV37" s="11"/>
      <c r="AW37" s="10">
        <v>1260</v>
      </c>
      <c r="AX37" s="8" t="s">
        <v>161</v>
      </c>
      <c r="AY37" s="10" t="s">
        <v>131</v>
      </c>
      <c r="AZ37" s="10" t="s">
        <v>213</v>
      </c>
      <c r="BA37" s="10" t="s">
        <v>131</v>
      </c>
      <c r="BB37" s="10" t="s">
        <v>93</v>
      </c>
      <c r="BC37" s="10" t="s">
        <v>114</v>
      </c>
    </row>
    <row r="38" spans="1:55" x14ac:dyDescent="0.25">
      <c r="A38" s="8">
        <f t="shared" si="2"/>
        <v>37</v>
      </c>
      <c r="B38" s="9">
        <v>45778</v>
      </c>
      <c r="C38" s="8" t="s">
        <v>214</v>
      </c>
      <c r="D38" s="10">
        <v>1737</v>
      </c>
      <c r="E38" s="8"/>
      <c r="F38" s="10" t="s">
        <v>215</v>
      </c>
      <c r="G38" s="10" t="s">
        <v>56</v>
      </c>
      <c r="H38" s="10" t="s">
        <v>78</v>
      </c>
      <c r="I38" s="10" t="s">
        <v>56</v>
      </c>
      <c r="J38" s="8" t="s">
        <v>49</v>
      </c>
      <c r="K38" s="10" t="s">
        <v>132</v>
      </c>
      <c r="L38" s="10" t="s">
        <v>113</v>
      </c>
      <c r="M38" s="10" t="s">
        <v>135</v>
      </c>
      <c r="N38" s="8">
        <v>4200</v>
      </c>
      <c r="O38" s="11"/>
      <c r="P38" s="11"/>
      <c r="Q38" s="11">
        <v>4200</v>
      </c>
      <c r="R38" s="11">
        <v>16000</v>
      </c>
      <c r="S38" s="8" t="s">
        <v>171</v>
      </c>
      <c r="T38" s="11"/>
      <c r="U38" s="7">
        <v>45775</v>
      </c>
      <c r="V38" s="10" t="s">
        <v>202</v>
      </c>
      <c r="W38" s="7">
        <v>45793</v>
      </c>
      <c r="X38" s="8" t="s">
        <v>50</v>
      </c>
      <c r="Y38" s="8"/>
      <c r="Z38" s="10"/>
      <c r="AA38" s="10"/>
      <c r="AB38" s="10"/>
      <c r="AC38" s="10"/>
      <c r="AD38" s="10"/>
      <c r="AE38" s="7" t="s">
        <v>131</v>
      </c>
      <c r="AF38" s="8"/>
      <c r="AG38" s="8">
        <v>4200</v>
      </c>
      <c r="AH38" s="8"/>
      <c r="AI38" s="8"/>
      <c r="AJ38" s="8"/>
      <c r="AK38" s="8"/>
      <c r="AL38" s="8"/>
      <c r="AM38" s="8"/>
      <c r="AN38" s="11"/>
      <c r="AO38" s="11"/>
      <c r="AP38" s="11"/>
      <c r="AQ38" s="11"/>
      <c r="AR38" s="11"/>
      <c r="AS38" s="11">
        <f>AU38-R38</f>
        <v>6300</v>
      </c>
      <c r="AT38" s="11"/>
      <c r="AU38" s="11">
        <f t="shared" si="3"/>
        <v>22300</v>
      </c>
      <c r="AV38" s="11"/>
      <c r="AW38" s="10">
        <v>1380</v>
      </c>
      <c r="AX38" s="8" t="s">
        <v>161</v>
      </c>
      <c r="AY38" s="10">
        <v>48499994</v>
      </c>
      <c r="AZ38" s="10" t="s">
        <v>216</v>
      </c>
      <c r="BA38" s="10" t="s">
        <v>131</v>
      </c>
      <c r="BB38" s="10" t="s">
        <v>93</v>
      </c>
      <c r="BC38" s="10" t="s">
        <v>113</v>
      </c>
    </row>
    <row r="39" spans="1:55" x14ac:dyDescent="0.25">
      <c r="A39" s="8">
        <f>ROW()-1</f>
        <v>38</v>
      </c>
      <c r="B39" s="9">
        <v>45809</v>
      </c>
      <c r="C39" s="8" t="s">
        <v>222</v>
      </c>
      <c r="D39" s="8">
        <v>1728</v>
      </c>
      <c r="E39" s="8"/>
      <c r="F39" s="8" t="s">
        <v>224</v>
      </c>
      <c r="G39" s="8" t="s">
        <v>84</v>
      </c>
      <c r="H39" s="8" t="s">
        <v>226</v>
      </c>
      <c r="I39" s="8" t="s">
        <v>53</v>
      </c>
      <c r="J39" s="8" t="s">
        <v>221</v>
      </c>
      <c r="K39" s="8" t="s">
        <v>133</v>
      </c>
      <c r="L39" s="8" t="s">
        <v>114</v>
      </c>
      <c r="M39" s="8" t="s">
        <v>135</v>
      </c>
      <c r="N39" s="8">
        <v>20400</v>
      </c>
      <c r="O39" s="11">
        <v>0</v>
      </c>
      <c r="P39" s="11">
        <v>0</v>
      </c>
      <c r="Q39" s="11">
        <f>N39</f>
        <v>20400</v>
      </c>
      <c r="R39" s="11">
        <v>19000</v>
      </c>
      <c r="S39" s="11" t="s">
        <v>171</v>
      </c>
      <c r="T39" s="11"/>
      <c r="U39" s="7">
        <v>45796</v>
      </c>
      <c r="V39" s="7" t="s">
        <v>202</v>
      </c>
      <c r="W39" s="7">
        <v>45794</v>
      </c>
      <c r="X39" s="8" t="s">
        <v>50</v>
      </c>
      <c r="Y39" s="8"/>
      <c r="Z39" s="8"/>
      <c r="AA39" s="8"/>
      <c r="AB39" s="8"/>
      <c r="AC39" s="8"/>
      <c r="AD39" s="8"/>
      <c r="AE39" s="7" t="s">
        <v>131</v>
      </c>
      <c r="AF39" s="6">
        <v>7700</v>
      </c>
      <c r="AG39" s="6">
        <v>6500</v>
      </c>
      <c r="AH39" s="6">
        <v>2000</v>
      </c>
      <c r="AI39" s="8">
        <v>700</v>
      </c>
      <c r="AJ39" s="8">
        <v>1500</v>
      </c>
      <c r="AK39" s="8">
        <v>2000</v>
      </c>
      <c r="AL39" s="8"/>
      <c r="AM39" s="8"/>
      <c r="AN39" s="8"/>
      <c r="AO39" s="11"/>
      <c r="AP39" s="11" t="s">
        <v>227</v>
      </c>
      <c r="AQ39" s="11" t="s">
        <v>171</v>
      </c>
      <c r="AR39" s="11"/>
      <c r="AS39" s="11">
        <f>N39-R39</f>
        <v>1400</v>
      </c>
      <c r="AT39" s="11"/>
      <c r="AU39" s="11"/>
      <c r="AV39" s="11"/>
      <c r="AW39" s="11"/>
      <c r="AX39" s="8" t="s">
        <v>131</v>
      </c>
      <c r="AY39" s="8" t="s">
        <v>223</v>
      </c>
      <c r="AZ39" s="8" t="s">
        <v>225</v>
      </c>
      <c r="BA39" s="8" t="s">
        <v>131</v>
      </c>
      <c r="BB39" s="8" t="s">
        <v>94</v>
      </c>
      <c r="BC39" s="8" t="s">
        <v>114</v>
      </c>
    </row>
    <row r="40" spans="1:55" x14ac:dyDescent="0.25">
      <c r="A40" s="8">
        <f t="shared" ref="A40:A57" si="4">ROW()-1</f>
        <v>39</v>
      </c>
      <c r="B40" s="9">
        <v>45809</v>
      </c>
      <c r="C40" s="8" t="s">
        <v>228</v>
      </c>
      <c r="D40" s="8">
        <v>1775</v>
      </c>
      <c r="E40" s="8"/>
      <c r="F40" s="8" t="s">
        <v>230</v>
      </c>
      <c r="G40" s="8" t="s">
        <v>232</v>
      </c>
      <c r="H40" s="8" t="s">
        <v>78</v>
      </c>
      <c r="I40" s="8" t="s">
        <v>56</v>
      </c>
      <c r="J40" s="8" t="s">
        <v>221</v>
      </c>
      <c r="K40" s="8" t="s">
        <v>133</v>
      </c>
      <c r="L40" s="8" t="s">
        <v>113</v>
      </c>
      <c r="M40" s="8" t="s">
        <v>135</v>
      </c>
      <c r="N40" s="8">
        <v>20400</v>
      </c>
      <c r="O40" s="11">
        <v>0</v>
      </c>
      <c r="P40" s="11">
        <v>0</v>
      </c>
      <c r="Q40" s="11">
        <f>N40</f>
        <v>20400</v>
      </c>
      <c r="R40" s="11">
        <v>17000</v>
      </c>
      <c r="S40" s="11" t="s">
        <v>171</v>
      </c>
      <c r="T40" s="11"/>
      <c r="U40" s="7">
        <v>45805</v>
      </c>
      <c r="V40" s="7" t="s">
        <v>202</v>
      </c>
      <c r="W40" s="7">
        <v>45803</v>
      </c>
      <c r="X40" s="8" t="s">
        <v>50</v>
      </c>
      <c r="Y40" s="8"/>
      <c r="Z40" s="8"/>
      <c r="AA40" s="8"/>
      <c r="AB40" s="8"/>
      <c r="AC40" s="8"/>
      <c r="AD40" s="8"/>
      <c r="AE40" s="7">
        <v>45815</v>
      </c>
      <c r="AF40" s="6">
        <v>7700</v>
      </c>
      <c r="AG40" s="6">
        <v>6500</v>
      </c>
      <c r="AH40" s="6">
        <v>2000</v>
      </c>
      <c r="AI40" s="8">
        <v>700</v>
      </c>
      <c r="AJ40" s="8">
        <v>1500</v>
      </c>
      <c r="AK40" s="8">
        <v>2000</v>
      </c>
      <c r="AL40" s="8" t="s">
        <v>131</v>
      </c>
      <c r="AM40" s="8" t="s">
        <v>131</v>
      </c>
      <c r="AN40" s="8" t="s">
        <v>131</v>
      </c>
      <c r="AO40" s="11"/>
      <c r="AP40" s="11" t="s">
        <v>227</v>
      </c>
      <c r="AQ40" s="11" t="s">
        <v>171</v>
      </c>
      <c r="AR40" s="11"/>
      <c r="AS40" s="11">
        <f>N40-R40</f>
        <v>3400</v>
      </c>
      <c r="AT40" s="11"/>
      <c r="AU40" s="11"/>
      <c r="AV40" s="11"/>
      <c r="AW40" s="11"/>
      <c r="AX40" s="8" t="s">
        <v>131</v>
      </c>
      <c r="AY40" s="8" t="s">
        <v>229</v>
      </c>
      <c r="AZ40" s="8" t="s">
        <v>231</v>
      </c>
      <c r="BA40" s="8" t="s">
        <v>131</v>
      </c>
      <c r="BB40" s="8" t="s">
        <v>93</v>
      </c>
      <c r="BC40" s="8" t="s">
        <v>113</v>
      </c>
    </row>
    <row r="41" spans="1:55" x14ac:dyDescent="0.25">
      <c r="A41" s="8">
        <f t="shared" si="4"/>
        <v>40</v>
      </c>
      <c r="B41" s="9">
        <v>45809</v>
      </c>
      <c r="C41" s="8" t="s">
        <v>233</v>
      </c>
      <c r="D41" s="8">
        <v>1778</v>
      </c>
      <c r="E41" s="8"/>
      <c r="F41" s="8" t="s">
        <v>235</v>
      </c>
      <c r="G41" s="8" t="s">
        <v>56</v>
      </c>
      <c r="H41" s="8" t="s">
        <v>237</v>
      </c>
      <c r="I41" s="8" t="s">
        <v>56</v>
      </c>
      <c r="J41" s="8" t="s">
        <v>221</v>
      </c>
      <c r="K41" s="8" t="s">
        <v>132</v>
      </c>
      <c r="L41" s="8" t="s">
        <v>114</v>
      </c>
      <c r="M41" s="8" t="s">
        <v>135</v>
      </c>
      <c r="N41" s="8">
        <v>13900</v>
      </c>
      <c r="O41" s="11">
        <v>0</v>
      </c>
      <c r="P41" s="11">
        <v>0</v>
      </c>
      <c r="Q41" s="11">
        <f>N41</f>
        <v>13900</v>
      </c>
      <c r="R41" s="11">
        <v>12500</v>
      </c>
      <c r="S41" s="11" t="s">
        <v>241</v>
      </c>
      <c r="T41" s="11"/>
      <c r="U41" s="7">
        <v>45805</v>
      </c>
      <c r="V41" s="7" t="s">
        <v>202</v>
      </c>
      <c r="W41" s="7">
        <v>45803</v>
      </c>
      <c r="X41" s="8" t="s">
        <v>50</v>
      </c>
      <c r="Y41" s="8"/>
      <c r="Z41" s="8"/>
      <c r="AA41" s="8"/>
      <c r="AB41" s="8"/>
      <c r="AC41" s="8"/>
      <c r="AD41" s="8"/>
      <c r="AE41" s="7" t="s">
        <v>131</v>
      </c>
      <c r="AF41" s="8">
        <v>5400</v>
      </c>
      <c r="AG41" s="8">
        <v>2300</v>
      </c>
      <c r="AH41" s="8">
        <v>2000</v>
      </c>
      <c r="AI41" s="8">
        <v>700</v>
      </c>
      <c r="AJ41" s="8">
        <v>1500</v>
      </c>
      <c r="AK41" s="8">
        <v>2000</v>
      </c>
      <c r="AL41" s="8" t="s">
        <v>131</v>
      </c>
      <c r="AM41" s="8" t="s">
        <v>131</v>
      </c>
      <c r="AN41" s="8" t="s">
        <v>131</v>
      </c>
      <c r="AO41" s="11"/>
      <c r="AP41" s="11" t="s">
        <v>227</v>
      </c>
      <c r="AQ41" s="11" t="s">
        <v>239</v>
      </c>
      <c r="AR41" s="11" t="s">
        <v>240</v>
      </c>
      <c r="AS41" s="11">
        <f>N41-R41</f>
        <v>1400</v>
      </c>
      <c r="AT41" s="11"/>
      <c r="AU41" s="11"/>
      <c r="AV41" s="11"/>
      <c r="AW41" s="11"/>
      <c r="AX41" s="8" t="s">
        <v>131</v>
      </c>
      <c r="AY41" s="8" t="s">
        <v>234</v>
      </c>
      <c r="AZ41" s="8" t="s">
        <v>236</v>
      </c>
      <c r="BA41" s="8" t="s">
        <v>131</v>
      </c>
      <c r="BB41" s="8" t="s">
        <v>238</v>
      </c>
      <c r="BC41" s="8" t="s">
        <v>114</v>
      </c>
    </row>
    <row r="42" spans="1:55" x14ac:dyDescent="0.25">
      <c r="A42" s="8">
        <f t="shared" si="4"/>
        <v>41</v>
      </c>
      <c r="B42" s="9">
        <v>45809</v>
      </c>
      <c r="C42" s="8" t="s">
        <v>242</v>
      </c>
      <c r="D42" s="8">
        <v>1795</v>
      </c>
      <c r="E42" s="8"/>
      <c r="F42" s="8" t="s">
        <v>244</v>
      </c>
      <c r="G42" s="8" t="s">
        <v>53</v>
      </c>
      <c r="H42" s="8" t="s">
        <v>246</v>
      </c>
      <c r="I42" s="8" t="s">
        <v>53</v>
      </c>
      <c r="J42" s="8" t="s">
        <v>221</v>
      </c>
      <c r="K42" s="8" t="s">
        <v>134</v>
      </c>
      <c r="L42" s="8" t="s">
        <v>114</v>
      </c>
      <c r="M42" s="8" t="s">
        <v>137</v>
      </c>
      <c r="N42" s="8">
        <v>8800</v>
      </c>
      <c r="O42" s="11">
        <v>0</v>
      </c>
      <c r="P42" s="11">
        <v>0</v>
      </c>
      <c r="Q42" s="11">
        <f>N42</f>
        <v>8800</v>
      </c>
      <c r="R42" s="11">
        <v>6300</v>
      </c>
      <c r="S42" s="11" t="s">
        <v>241</v>
      </c>
      <c r="T42" s="11"/>
      <c r="U42" s="7">
        <v>45813</v>
      </c>
      <c r="V42" s="7" t="s">
        <v>191</v>
      </c>
      <c r="W42" s="7">
        <v>45807</v>
      </c>
      <c r="X42" s="8" t="s">
        <v>50</v>
      </c>
      <c r="Y42" s="8"/>
      <c r="Z42" s="8"/>
      <c r="AA42" s="8"/>
      <c r="AB42" s="8"/>
      <c r="AC42" s="8"/>
      <c r="AD42" s="8"/>
      <c r="AE42" s="7">
        <v>45818</v>
      </c>
      <c r="AF42" s="8">
        <v>4000</v>
      </c>
      <c r="AG42" s="8">
        <v>2300</v>
      </c>
      <c r="AH42" s="8" t="s">
        <v>131</v>
      </c>
      <c r="AI42" s="8" t="s">
        <v>131</v>
      </c>
      <c r="AJ42" s="8">
        <v>1500</v>
      </c>
      <c r="AK42" s="8" t="s">
        <v>131</v>
      </c>
      <c r="AL42" s="8">
        <v>1000</v>
      </c>
      <c r="AM42" s="8" t="s">
        <v>131</v>
      </c>
      <c r="AN42" s="8" t="s">
        <v>247</v>
      </c>
      <c r="AO42" s="11"/>
      <c r="AP42" s="11" t="s">
        <v>227</v>
      </c>
      <c r="AQ42" s="11" t="s">
        <v>239</v>
      </c>
      <c r="AR42" s="11" t="s">
        <v>240</v>
      </c>
      <c r="AS42" s="11">
        <f>N42-R42</f>
        <v>2500</v>
      </c>
      <c r="AT42" s="11"/>
      <c r="AU42" s="11"/>
      <c r="AV42" s="11"/>
      <c r="AW42" s="11"/>
      <c r="AX42" s="8" t="s">
        <v>131</v>
      </c>
      <c r="AY42" s="8" t="s">
        <v>243</v>
      </c>
      <c r="AZ42" s="8" t="s">
        <v>245</v>
      </c>
      <c r="BA42" s="8" t="s">
        <v>131</v>
      </c>
      <c r="BB42" s="8" t="s">
        <v>143</v>
      </c>
      <c r="BC42" s="8" t="s">
        <v>114</v>
      </c>
    </row>
    <row r="43" spans="1:55" x14ac:dyDescent="0.25">
      <c r="A43" s="8">
        <f t="shared" si="4"/>
        <v>42</v>
      </c>
      <c r="B43" s="9">
        <v>45809</v>
      </c>
      <c r="C43" s="8" t="s">
        <v>248</v>
      </c>
      <c r="D43" s="8">
        <v>1797</v>
      </c>
      <c r="E43" s="8"/>
      <c r="F43" s="8" t="s">
        <v>250</v>
      </c>
      <c r="G43" s="8" t="s">
        <v>56</v>
      </c>
      <c r="H43" s="8" t="s">
        <v>252</v>
      </c>
      <c r="I43" s="8" t="s">
        <v>56</v>
      </c>
      <c r="J43" s="8" t="s">
        <v>221</v>
      </c>
      <c r="K43" s="8" t="s">
        <v>132</v>
      </c>
      <c r="L43" s="8" t="s">
        <v>114</v>
      </c>
      <c r="M43" s="8" t="s">
        <v>135</v>
      </c>
      <c r="N43" s="8">
        <v>13900</v>
      </c>
      <c r="O43" s="11">
        <v>0</v>
      </c>
      <c r="P43" s="11">
        <v>0</v>
      </c>
      <c r="Q43" s="11">
        <f>N43</f>
        <v>13900</v>
      </c>
      <c r="R43" s="11">
        <v>15000</v>
      </c>
      <c r="S43" s="11" t="s">
        <v>241</v>
      </c>
      <c r="T43" s="11"/>
      <c r="U43" s="7">
        <v>45811</v>
      </c>
      <c r="V43" s="7" t="s">
        <v>202</v>
      </c>
      <c r="W43" s="7">
        <v>45807</v>
      </c>
      <c r="X43" s="8" t="s">
        <v>50</v>
      </c>
      <c r="Y43" s="8"/>
      <c r="Z43" s="8"/>
      <c r="AA43" s="8"/>
      <c r="AB43" s="8"/>
      <c r="AC43" s="8"/>
      <c r="AD43" s="8"/>
      <c r="AE43" s="7" t="s">
        <v>131</v>
      </c>
      <c r="AF43" s="8">
        <v>5400</v>
      </c>
      <c r="AG43" s="8">
        <v>2300</v>
      </c>
      <c r="AH43" s="8">
        <v>2000</v>
      </c>
      <c r="AI43" s="8">
        <v>700</v>
      </c>
      <c r="AJ43" s="8">
        <v>1500</v>
      </c>
      <c r="AK43" s="8">
        <v>2000</v>
      </c>
      <c r="AL43" s="8" t="s">
        <v>131</v>
      </c>
      <c r="AM43" s="8" t="s">
        <v>131</v>
      </c>
      <c r="AN43" s="8" t="s">
        <v>131</v>
      </c>
      <c r="AO43" s="11"/>
      <c r="AP43" s="11" t="s">
        <v>227</v>
      </c>
      <c r="AQ43" s="11" t="s">
        <v>239</v>
      </c>
      <c r="AR43" s="11" t="s">
        <v>240</v>
      </c>
      <c r="AS43" s="11">
        <f>N43-R43</f>
        <v>-1100</v>
      </c>
      <c r="AT43" s="11"/>
      <c r="AU43" s="11"/>
      <c r="AV43" s="11"/>
      <c r="AW43" s="11"/>
      <c r="AX43" s="8" t="s">
        <v>131</v>
      </c>
      <c r="AY43" s="8" t="s">
        <v>249</v>
      </c>
      <c r="AZ43" s="8" t="s">
        <v>251</v>
      </c>
      <c r="BA43" s="8" t="s">
        <v>131</v>
      </c>
      <c r="BB43" s="8" t="s">
        <v>253</v>
      </c>
      <c r="BC43" s="8" t="s">
        <v>114</v>
      </c>
    </row>
    <row r="44" spans="1:55" x14ac:dyDescent="0.25">
      <c r="A44" s="8">
        <f t="shared" si="4"/>
        <v>43</v>
      </c>
      <c r="B44" s="9">
        <v>45809</v>
      </c>
      <c r="C44" s="8" t="s">
        <v>254</v>
      </c>
      <c r="D44" s="8">
        <v>1798</v>
      </c>
      <c r="E44" s="8"/>
      <c r="F44" s="8" t="s">
        <v>255</v>
      </c>
      <c r="G44" s="8" t="s">
        <v>56</v>
      </c>
      <c r="H44" s="8" t="s">
        <v>257</v>
      </c>
      <c r="I44" s="8" t="s">
        <v>56</v>
      </c>
      <c r="J44" s="8" t="s">
        <v>221</v>
      </c>
      <c r="K44" s="8" t="s">
        <v>132</v>
      </c>
      <c r="L44" s="8" t="s">
        <v>114</v>
      </c>
      <c r="M44" s="8" t="s">
        <v>137</v>
      </c>
      <c r="N44" s="8">
        <v>9200</v>
      </c>
      <c r="O44" s="11">
        <v>0</v>
      </c>
      <c r="P44" s="11">
        <v>0</v>
      </c>
      <c r="Q44" s="11">
        <f>N44</f>
        <v>9200</v>
      </c>
      <c r="R44" s="11">
        <v>8500</v>
      </c>
      <c r="S44" s="11" t="s">
        <v>241</v>
      </c>
      <c r="T44" s="11"/>
      <c r="U44" s="7">
        <v>45811</v>
      </c>
      <c r="V44" s="7" t="s">
        <v>191</v>
      </c>
      <c r="W44" s="7">
        <v>45807</v>
      </c>
      <c r="X44" s="8" t="s">
        <v>50</v>
      </c>
      <c r="Y44" s="8"/>
      <c r="Z44" s="8"/>
      <c r="AA44" s="8"/>
      <c r="AB44" s="8"/>
      <c r="AC44" s="8"/>
      <c r="AD44" s="8"/>
      <c r="AE44" s="7">
        <v>45811</v>
      </c>
      <c r="AF44" s="8">
        <v>5400</v>
      </c>
      <c r="AG44" s="8">
        <v>2300</v>
      </c>
      <c r="AH44" s="8" t="s">
        <v>131</v>
      </c>
      <c r="AI44" s="8" t="s">
        <v>131</v>
      </c>
      <c r="AJ44" s="8">
        <v>1500</v>
      </c>
      <c r="AK44" s="8" t="s">
        <v>131</v>
      </c>
      <c r="AL44" s="8" t="s">
        <v>131</v>
      </c>
      <c r="AM44" s="8" t="s">
        <v>131</v>
      </c>
      <c r="AN44" s="8" t="s">
        <v>131</v>
      </c>
      <c r="AO44" s="11"/>
      <c r="AP44" s="11" t="s">
        <v>227</v>
      </c>
      <c r="AQ44" s="11" t="s">
        <v>239</v>
      </c>
      <c r="AR44" s="11" t="s">
        <v>240</v>
      </c>
      <c r="AS44" s="11">
        <f>N44-R44</f>
        <v>700</v>
      </c>
      <c r="AT44" s="11"/>
      <c r="AU44" s="11"/>
      <c r="AV44" s="11"/>
      <c r="AW44" s="11"/>
      <c r="AX44" s="8" t="s">
        <v>131</v>
      </c>
      <c r="AY44" s="8">
        <v>61971398</v>
      </c>
      <c r="AZ44" s="8" t="s">
        <v>256</v>
      </c>
      <c r="BA44" s="8" t="s">
        <v>131</v>
      </c>
      <c r="BB44" s="8" t="s">
        <v>258</v>
      </c>
      <c r="BC44" s="8" t="s">
        <v>114</v>
      </c>
    </row>
    <row r="45" spans="1:55" x14ac:dyDescent="0.25">
      <c r="A45" s="8">
        <f t="shared" si="4"/>
        <v>44</v>
      </c>
      <c r="B45" s="9">
        <v>45809</v>
      </c>
      <c r="C45" s="8" t="s">
        <v>176</v>
      </c>
      <c r="D45" s="8">
        <v>1807</v>
      </c>
      <c r="E45" s="8"/>
      <c r="F45" s="8" t="s">
        <v>178</v>
      </c>
      <c r="G45" s="8" t="s">
        <v>53</v>
      </c>
      <c r="H45" s="8" t="s">
        <v>260</v>
      </c>
      <c r="I45" s="8" t="s">
        <v>53</v>
      </c>
      <c r="J45" s="8" t="s">
        <v>221</v>
      </c>
      <c r="K45" s="8" t="s">
        <v>134</v>
      </c>
      <c r="L45" s="8" t="s">
        <v>259</v>
      </c>
      <c r="M45" s="8" t="s">
        <v>135</v>
      </c>
      <c r="N45" s="8">
        <v>6000</v>
      </c>
      <c r="O45" s="11">
        <v>0</v>
      </c>
      <c r="P45" s="11">
        <v>0</v>
      </c>
      <c r="Q45" s="11">
        <f>N45</f>
        <v>6000</v>
      </c>
      <c r="R45" s="11">
        <v>5500</v>
      </c>
      <c r="S45" s="11" t="s">
        <v>241</v>
      </c>
      <c r="T45" s="11"/>
      <c r="U45" s="7">
        <v>45811</v>
      </c>
      <c r="V45" s="7" t="s">
        <v>202</v>
      </c>
      <c r="W45" s="7">
        <v>45810</v>
      </c>
      <c r="X45" s="8" t="s">
        <v>50</v>
      </c>
      <c r="Y45" s="8"/>
      <c r="Z45" s="8"/>
      <c r="AA45" s="8"/>
      <c r="AB45" s="8"/>
      <c r="AC45" s="8"/>
      <c r="AD45" s="8"/>
      <c r="AE45" s="7">
        <v>45812</v>
      </c>
      <c r="AF45" s="6">
        <v>4000</v>
      </c>
      <c r="AG45" s="8"/>
      <c r="AH45" s="6">
        <v>2000</v>
      </c>
      <c r="AI45" s="8"/>
      <c r="AJ45" s="8"/>
      <c r="AK45" s="8"/>
      <c r="AL45" s="8" t="s">
        <v>131</v>
      </c>
      <c r="AM45" s="8" t="s">
        <v>131</v>
      </c>
      <c r="AN45" s="8" t="s">
        <v>131</v>
      </c>
      <c r="AO45" s="11"/>
      <c r="AP45" s="11" t="s">
        <v>262</v>
      </c>
      <c r="AQ45" s="17" t="s">
        <v>239</v>
      </c>
      <c r="AR45" s="11" t="s">
        <v>240</v>
      </c>
      <c r="AS45" s="11">
        <f>N45-R45</f>
        <v>500</v>
      </c>
      <c r="AT45" s="11"/>
      <c r="AU45" s="11"/>
      <c r="AV45" s="11"/>
      <c r="AW45" s="11"/>
      <c r="AX45" s="8" t="s">
        <v>131</v>
      </c>
      <c r="AY45" s="8" t="s">
        <v>177</v>
      </c>
      <c r="AZ45" s="8" t="s">
        <v>179</v>
      </c>
      <c r="BA45" s="8" t="s">
        <v>131</v>
      </c>
      <c r="BB45" s="8" t="s">
        <v>261</v>
      </c>
      <c r="BC45" s="8" t="s">
        <v>259</v>
      </c>
    </row>
    <row r="46" spans="1:55" x14ac:dyDescent="0.25">
      <c r="A46" s="8">
        <f t="shared" si="4"/>
        <v>45</v>
      </c>
      <c r="B46" s="9">
        <v>45809</v>
      </c>
      <c r="C46" s="8" t="s">
        <v>263</v>
      </c>
      <c r="D46" s="8">
        <v>1815</v>
      </c>
      <c r="E46" s="8"/>
      <c r="F46" s="8" t="s">
        <v>265</v>
      </c>
      <c r="G46" s="8" t="s">
        <v>56</v>
      </c>
      <c r="H46" s="8" t="s">
        <v>78</v>
      </c>
      <c r="I46" s="8" t="s">
        <v>56</v>
      </c>
      <c r="J46" s="8" t="s">
        <v>221</v>
      </c>
      <c r="K46" s="8" t="s">
        <v>132</v>
      </c>
      <c r="L46" s="8" t="s">
        <v>113</v>
      </c>
      <c r="M46" s="8" t="s">
        <v>135</v>
      </c>
      <c r="N46" s="8">
        <v>18100</v>
      </c>
      <c r="O46" s="11">
        <v>0</v>
      </c>
      <c r="P46" s="11">
        <v>0</v>
      </c>
      <c r="Q46" s="11">
        <f>N46</f>
        <v>18100</v>
      </c>
      <c r="R46" s="11">
        <v>15000</v>
      </c>
      <c r="S46" s="11" t="s">
        <v>171</v>
      </c>
      <c r="T46" s="11"/>
      <c r="U46" s="7">
        <v>45815</v>
      </c>
      <c r="V46" s="7" t="s">
        <v>202</v>
      </c>
      <c r="W46" s="7">
        <v>45813</v>
      </c>
      <c r="X46" s="8" t="s">
        <v>50</v>
      </c>
      <c r="Y46" s="8"/>
      <c r="Z46" s="8"/>
      <c r="AA46" s="8"/>
      <c r="AB46" s="8"/>
      <c r="AC46" s="8"/>
      <c r="AD46" s="8"/>
      <c r="AE46" s="7" t="s">
        <v>131</v>
      </c>
      <c r="AF46" s="8">
        <v>5400</v>
      </c>
      <c r="AG46" s="6">
        <v>6500</v>
      </c>
      <c r="AH46" s="8">
        <v>2000</v>
      </c>
      <c r="AI46" s="8">
        <v>700</v>
      </c>
      <c r="AJ46" s="8">
        <v>1500</v>
      </c>
      <c r="AK46" s="8">
        <v>2000</v>
      </c>
      <c r="AL46" s="8" t="s">
        <v>131</v>
      </c>
      <c r="AM46" s="8" t="s">
        <v>131</v>
      </c>
      <c r="AN46" s="8" t="s">
        <v>131</v>
      </c>
      <c r="AO46" s="11"/>
      <c r="AP46" s="11" t="s">
        <v>227</v>
      </c>
      <c r="AQ46" s="11" t="s">
        <v>171</v>
      </c>
      <c r="AR46" s="11"/>
      <c r="AS46" s="11">
        <f>N46-R46</f>
        <v>3100</v>
      </c>
      <c r="AT46" s="11"/>
      <c r="AU46" s="11"/>
      <c r="AV46" s="11"/>
      <c r="AW46" s="11"/>
      <c r="AX46" s="8" t="s">
        <v>131</v>
      </c>
      <c r="AY46" s="8" t="s">
        <v>264</v>
      </c>
      <c r="AZ46" s="8" t="s">
        <v>266</v>
      </c>
      <c r="BA46" s="8" t="s">
        <v>131</v>
      </c>
      <c r="BB46" s="8" t="s">
        <v>93</v>
      </c>
      <c r="BC46" s="8" t="s">
        <v>113</v>
      </c>
    </row>
    <row r="47" spans="1:55" x14ac:dyDescent="0.25">
      <c r="A47" s="8">
        <f t="shared" si="4"/>
        <v>46</v>
      </c>
      <c r="B47" s="9">
        <v>45809</v>
      </c>
      <c r="C47" s="18" t="s">
        <v>267</v>
      </c>
      <c r="D47" s="8">
        <v>1816</v>
      </c>
      <c r="E47" s="8"/>
      <c r="F47" s="8" t="s">
        <v>269</v>
      </c>
      <c r="G47" s="8" t="s">
        <v>53</v>
      </c>
      <c r="H47" s="8" t="s">
        <v>91</v>
      </c>
      <c r="I47" s="8" t="s">
        <v>53</v>
      </c>
      <c r="J47" s="8" t="s">
        <v>221</v>
      </c>
      <c r="K47" s="8" t="s">
        <v>134</v>
      </c>
      <c r="L47" s="8" t="s">
        <v>113</v>
      </c>
      <c r="M47" s="8" t="s">
        <v>135</v>
      </c>
      <c r="N47" s="8">
        <v>13500</v>
      </c>
      <c r="O47" s="11">
        <v>13500</v>
      </c>
      <c r="P47" s="11">
        <v>0</v>
      </c>
      <c r="Q47" s="11">
        <v>0</v>
      </c>
      <c r="R47" s="11">
        <v>12300</v>
      </c>
      <c r="S47" s="11" t="s">
        <v>272</v>
      </c>
      <c r="T47" s="11"/>
      <c r="U47" s="7">
        <v>45820</v>
      </c>
      <c r="V47" s="7" t="s">
        <v>202</v>
      </c>
      <c r="W47" s="7">
        <v>45814</v>
      </c>
      <c r="X47" s="8" t="s">
        <v>50</v>
      </c>
      <c r="Y47" s="8"/>
      <c r="Z47" s="8"/>
      <c r="AA47" s="8"/>
      <c r="AB47" s="8"/>
      <c r="AC47" s="8"/>
      <c r="AD47" s="8"/>
      <c r="AE47" s="7" t="s">
        <v>131</v>
      </c>
      <c r="AF47" s="6">
        <v>4000</v>
      </c>
      <c r="AG47" s="8">
        <v>2300</v>
      </c>
      <c r="AH47" s="6">
        <v>2000</v>
      </c>
      <c r="AI47" s="8">
        <v>700</v>
      </c>
      <c r="AJ47" s="8">
        <v>1500</v>
      </c>
      <c r="AK47" s="8">
        <v>2000</v>
      </c>
      <c r="AL47" s="8">
        <v>1000</v>
      </c>
      <c r="AM47" s="8" t="s">
        <v>131</v>
      </c>
      <c r="AN47" s="8" t="s">
        <v>271</v>
      </c>
      <c r="AO47" s="11"/>
      <c r="AP47" s="11" t="s">
        <v>227</v>
      </c>
      <c r="AQ47" s="11" t="s">
        <v>272</v>
      </c>
      <c r="AR47" s="11"/>
      <c r="AS47" s="11">
        <f>N47-R47</f>
        <v>1200</v>
      </c>
      <c r="AT47" s="11"/>
      <c r="AU47" s="11"/>
      <c r="AV47" s="11"/>
      <c r="AW47" s="11"/>
      <c r="AX47" s="8" t="s">
        <v>131</v>
      </c>
      <c r="AY47" s="8" t="s">
        <v>268</v>
      </c>
      <c r="AZ47" s="8" t="s">
        <v>270</v>
      </c>
      <c r="BA47" s="8" t="s">
        <v>131</v>
      </c>
      <c r="BB47" s="8" t="s">
        <v>92</v>
      </c>
      <c r="BC47" s="8" t="s">
        <v>113</v>
      </c>
    </row>
    <row r="48" spans="1:55" x14ac:dyDescent="0.25">
      <c r="A48" s="8">
        <f t="shared" si="4"/>
        <v>47</v>
      </c>
      <c r="B48" s="9">
        <v>45809</v>
      </c>
      <c r="C48" s="18" t="s">
        <v>273</v>
      </c>
      <c r="D48" s="8">
        <v>1818</v>
      </c>
      <c r="E48" s="8"/>
      <c r="F48" s="8" t="s">
        <v>275</v>
      </c>
      <c r="G48" s="8" t="s">
        <v>53</v>
      </c>
      <c r="H48" s="8" t="s">
        <v>91</v>
      </c>
      <c r="I48" s="8" t="s">
        <v>53</v>
      </c>
      <c r="J48" s="8" t="s">
        <v>221</v>
      </c>
      <c r="K48" s="8" t="s">
        <v>134</v>
      </c>
      <c r="L48" s="8" t="s">
        <v>113</v>
      </c>
      <c r="M48" s="8" t="s">
        <v>135</v>
      </c>
      <c r="N48" s="8">
        <v>12500</v>
      </c>
      <c r="O48" s="11">
        <v>0</v>
      </c>
      <c r="P48" s="11">
        <v>0</v>
      </c>
      <c r="Q48" s="11">
        <f>N48</f>
        <v>12500</v>
      </c>
      <c r="R48" s="11">
        <v>11300</v>
      </c>
      <c r="S48" s="11" t="s">
        <v>171</v>
      </c>
      <c r="T48" s="11"/>
      <c r="U48" s="7">
        <v>45821</v>
      </c>
      <c r="V48" s="7" t="s">
        <v>202</v>
      </c>
      <c r="W48" s="7">
        <v>45815</v>
      </c>
      <c r="X48" s="8" t="s">
        <v>50</v>
      </c>
      <c r="Y48" s="8"/>
      <c r="Z48" s="8"/>
      <c r="AA48" s="8"/>
      <c r="AB48" s="8"/>
      <c r="AC48" s="8"/>
      <c r="AD48" s="8"/>
      <c r="AE48" s="7" t="s">
        <v>131</v>
      </c>
      <c r="AF48" s="6">
        <v>4000</v>
      </c>
      <c r="AG48" s="8">
        <v>2300</v>
      </c>
      <c r="AH48" s="6">
        <v>2000</v>
      </c>
      <c r="AI48" s="8">
        <v>700</v>
      </c>
      <c r="AJ48" s="8">
        <v>1500</v>
      </c>
      <c r="AK48" s="8">
        <v>2000</v>
      </c>
      <c r="AL48" s="8" t="s">
        <v>131</v>
      </c>
      <c r="AM48" s="8" t="s">
        <v>131</v>
      </c>
      <c r="AN48" s="8" t="s">
        <v>131</v>
      </c>
      <c r="AO48" s="11"/>
      <c r="AP48" s="11" t="s">
        <v>227</v>
      </c>
      <c r="AQ48" s="11" t="s">
        <v>171</v>
      </c>
      <c r="AR48" s="11"/>
      <c r="AS48" s="11">
        <f>N48-R48</f>
        <v>1200</v>
      </c>
      <c r="AT48" s="11"/>
      <c r="AU48" s="11"/>
      <c r="AV48" s="11"/>
      <c r="AW48" s="11"/>
      <c r="AX48" s="8" t="s">
        <v>131</v>
      </c>
      <c r="AY48" s="8" t="s">
        <v>274</v>
      </c>
      <c r="AZ48" s="8" t="s">
        <v>276</v>
      </c>
      <c r="BA48" s="8" t="s">
        <v>131</v>
      </c>
      <c r="BB48" s="8" t="s">
        <v>92</v>
      </c>
      <c r="BC48" s="8" t="s">
        <v>113</v>
      </c>
    </row>
    <row r="49" spans="1:55" x14ac:dyDescent="0.25">
      <c r="A49" s="8">
        <f t="shared" si="4"/>
        <v>48</v>
      </c>
      <c r="B49" s="9">
        <v>45809</v>
      </c>
      <c r="C49" s="18" t="s">
        <v>277</v>
      </c>
      <c r="D49" s="8">
        <v>1822</v>
      </c>
      <c r="E49" s="8"/>
      <c r="F49" s="8" t="s">
        <v>278</v>
      </c>
      <c r="G49" s="8" t="s">
        <v>53</v>
      </c>
      <c r="H49" s="8" t="s">
        <v>91</v>
      </c>
      <c r="I49" s="8" t="s">
        <v>53</v>
      </c>
      <c r="J49" s="8" t="s">
        <v>221</v>
      </c>
      <c r="K49" s="8" t="s">
        <v>134</v>
      </c>
      <c r="L49" s="8" t="s">
        <v>113</v>
      </c>
      <c r="M49" s="8" t="s">
        <v>135</v>
      </c>
      <c r="N49" s="8">
        <v>12500</v>
      </c>
      <c r="O49" s="11">
        <v>12500</v>
      </c>
      <c r="P49" s="11">
        <v>0</v>
      </c>
      <c r="Q49" s="11">
        <v>0</v>
      </c>
      <c r="R49" s="11">
        <v>11300</v>
      </c>
      <c r="S49" s="11" t="s">
        <v>272</v>
      </c>
      <c r="T49" s="11"/>
      <c r="U49" s="7">
        <v>45818</v>
      </c>
      <c r="V49" s="7" t="s">
        <v>202</v>
      </c>
      <c r="W49" s="7">
        <v>45815</v>
      </c>
      <c r="X49" s="8" t="s">
        <v>50</v>
      </c>
      <c r="Y49" s="8"/>
      <c r="Z49" s="8"/>
      <c r="AA49" s="8"/>
      <c r="AB49" s="8"/>
      <c r="AC49" s="8"/>
      <c r="AD49" s="8"/>
      <c r="AE49" s="7" t="s">
        <v>131</v>
      </c>
      <c r="AF49" s="6">
        <v>4000</v>
      </c>
      <c r="AG49" s="8">
        <v>2300</v>
      </c>
      <c r="AH49" s="6">
        <v>2000</v>
      </c>
      <c r="AI49" s="8">
        <v>700</v>
      </c>
      <c r="AJ49" s="8">
        <v>1500</v>
      </c>
      <c r="AK49" s="8">
        <v>2000</v>
      </c>
      <c r="AL49" s="8" t="s">
        <v>131</v>
      </c>
      <c r="AM49" s="8" t="s">
        <v>131</v>
      </c>
      <c r="AN49" s="8" t="s">
        <v>131</v>
      </c>
      <c r="AO49" s="11"/>
      <c r="AP49" s="11" t="s">
        <v>227</v>
      </c>
      <c r="AQ49" s="11" t="s">
        <v>272</v>
      </c>
      <c r="AR49" s="11"/>
      <c r="AS49" s="11">
        <f>N49-R49</f>
        <v>1200</v>
      </c>
      <c r="AT49" s="11"/>
      <c r="AU49" s="11"/>
      <c r="AV49" s="11"/>
      <c r="AW49" s="11"/>
      <c r="AX49" s="8" t="s">
        <v>131</v>
      </c>
      <c r="AY49" s="8">
        <v>57693935</v>
      </c>
      <c r="AZ49" s="8" t="s">
        <v>279</v>
      </c>
      <c r="BA49" s="8" t="s">
        <v>131</v>
      </c>
      <c r="BB49" s="8" t="s">
        <v>92</v>
      </c>
      <c r="BC49" s="8" t="s">
        <v>113</v>
      </c>
    </row>
    <row r="50" spans="1:55" x14ac:dyDescent="0.25">
      <c r="A50" s="8">
        <f t="shared" si="4"/>
        <v>49</v>
      </c>
      <c r="B50" s="9">
        <v>45809</v>
      </c>
      <c r="C50" s="8" t="s">
        <v>176</v>
      </c>
      <c r="D50" s="8">
        <v>1827</v>
      </c>
      <c r="E50" s="8"/>
      <c r="F50" s="8" t="s">
        <v>178</v>
      </c>
      <c r="G50" s="8" t="s">
        <v>53</v>
      </c>
      <c r="H50" s="8" t="s">
        <v>91</v>
      </c>
      <c r="I50" s="8" t="s">
        <v>53</v>
      </c>
      <c r="J50" s="8" t="s">
        <v>221</v>
      </c>
      <c r="K50" s="8" t="s">
        <v>134</v>
      </c>
      <c r="L50" s="8" t="s">
        <v>114</v>
      </c>
      <c r="M50" s="8" t="s">
        <v>280</v>
      </c>
      <c r="N50" s="8">
        <v>7800</v>
      </c>
      <c r="O50" s="11">
        <v>0</v>
      </c>
      <c r="P50" s="11">
        <v>0</v>
      </c>
      <c r="Q50" s="11">
        <f>N50</f>
        <v>7800</v>
      </c>
      <c r="R50" s="11">
        <v>6300</v>
      </c>
      <c r="S50" s="11" t="s">
        <v>171</v>
      </c>
      <c r="T50" s="11"/>
      <c r="U50" s="7">
        <v>45817</v>
      </c>
      <c r="V50" s="7" t="s">
        <v>191</v>
      </c>
      <c r="W50" s="7">
        <v>45817</v>
      </c>
      <c r="X50" s="8" t="s">
        <v>50</v>
      </c>
      <c r="Y50" s="8"/>
      <c r="Z50" s="8"/>
      <c r="AA50" s="8"/>
      <c r="AB50" s="8"/>
      <c r="AC50" s="8"/>
      <c r="AD50" s="8"/>
      <c r="AE50" s="7" t="s">
        <v>131</v>
      </c>
      <c r="AF50" s="8">
        <v>4000</v>
      </c>
      <c r="AG50" s="8">
        <v>2300</v>
      </c>
      <c r="AH50" s="8" t="s">
        <v>131</v>
      </c>
      <c r="AI50" s="8" t="s">
        <v>131</v>
      </c>
      <c r="AJ50" s="8">
        <v>1500</v>
      </c>
      <c r="AK50" s="8" t="s">
        <v>131</v>
      </c>
      <c r="AL50" s="8" t="s">
        <v>131</v>
      </c>
      <c r="AM50" s="8" t="s">
        <v>131</v>
      </c>
      <c r="AN50" s="8" t="s">
        <v>131</v>
      </c>
      <c r="AO50" s="11"/>
      <c r="AP50" s="11" t="s">
        <v>227</v>
      </c>
      <c r="AQ50" s="11" t="s">
        <v>171</v>
      </c>
      <c r="AR50" s="11"/>
      <c r="AS50" s="11">
        <f>N50-R50</f>
        <v>1500</v>
      </c>
      <c r="AT50" s="11"/>
      <c r="AU50" s="11"/>
      <c r="AV50" s="11"/>
      <c r="AW50" s="11"/>
      <c r="AX50" s="8" t="s">
        <v>131</v>
      </c>
      <c r="AY50" s="8" t="s">
        <v>177</v>
      </c>
      <c r="AZ50" s="8" t="s">
        <v>179</v>
      </c>
      <c r="BA50" s="8" t="s">
        <v>131</v>
      </c>
      <c r="BB50" s="8" t="s">
        <v>92</v>
      </c>
      <c r="BC50" s="8" t="s">
        <v>114</v>
      </c>
    </row>
    <row r="51" spans="1:55" x14ac:dyDescent="0.25">
      <c r="A51" s="8">
        <f t="shared" si="4"/>
        <v>50</v>
      </c>
      <c r="B51" s="9">
        <v>45809</v>
      </c>
      <c r="C51" s="8" t="s">
        <v>281</v>
      </c>
      <c r="D51" s="8">
        <v>1833</v>
      </c>
      <c r="E51" s="8"/>
      <c r="F51" s="8" t="s">
        <v>283</v>
      </c>
      <c r="G51" s="8" t="s">
        <v>56</v>
      </c>
      <c r="H51" s="8" t="s">
        <v>285</v>
      </c>
      <c r="I51" s="8" t="s">
        <v>286</v>
      </c>
      <c r="J51" s="8" t="s">
        <v>221</v>
      </c>
      <c r="K51" s="8" t="s">
        <v>132</v>
      </c>
      <c r="L51" s="8" t="s">
        <v>114</v>
      </c>
      <c r="M51" s="8" t="s">
        <v>135</v>
      </c>
      <c r="N51" s="8">
        <v>13900</v>
      </c>
      <c r="O51" s="11">
        <v>13900</v>
      </c>
      <c r="P51" s="11">
        <v>0</v>
      </c>
      <c r="Q51" s="11">
        <v>0</v>
      </c>
      <c r="R51" s="11">
        <v>16000</v>
      </c>
      <c r="S51" s="11" t="s">
        <v>272</v>
      </c>
      <c r="T51" s="11"/>
      <c r="U51" s="7">
        <v>45820</v>
      </c>
      <c r="V51" s="7" t="s">
        <v>202</v>
      </c>
      <c r="W51" s="7">
        <v>45818</v>
      </c>
      <c r="X51" s="8" t="s">
        <v>50</v>
      </c>
      <c r="Y51" s="8"/>
      <c r="Z51" s="8"/>
      <c r="AA51" s="8"/>
      <c r="AB51" s="8"/>
      <c r="AC51" s="8"/>
      <c r="AD51" s="8"/>
      <c r="AE51" s="7" t="s">
        <v>131</v>
      </c>
      <c r="AF51" s="8">
        <v>5400</v>
      </c>
      <c r="AG51" s="8">
        <v>2300</v>
      </c>
      <c r="AH51" s="8">
        <v>2000</v>
      </c>
      <c r="AI51" s="8">
        <v>700</v>
      </c>
      <c r="AJ51" s="8">
        <v>1500</v>
      </c>
      <c r="AK51" s="8">
        <v>2000</v>
      </c>
      <c r="AL51" s="8" t="s">
        <v>131</v>
      </c>
      <c r="AM51" s="8" t="s">
        <v>131</v>
      </c>
      <c r="AN51" s="8" t="s">
        <v>131</v>
      </c>
      <c r="AO51" s="11"/>
      <c r="AP51" s="11" t="s">
        <v>227</v>
      </c>
      <c r="AQ51" s="11" t="s">
        <v>272</v>
      </c>
      <c r="AR51" s="11"/>
      <c r="AS51" s="11">
        <f>N51-R51</f>
        <v>-2100</v>
      </c>
      <c r="AT51" s="11"/>
      <c r="AU51" s="11"/>
      <c r="AV51" s="11"/>
      <c r="AW51" s="11"/>
      <c r="AX51" s="8" t="s">
        <v>131</v>
      </c>
      <c r="AY51" s="8" t="s">
        <v>282</v>
      </c>
      <c r="AZ51" s="8" t="s">
        <v>284</v>
      </c>
      <c r="BA51" s="8" t="s">
        <v>131</v>
      </c>
      <c r="BB51" s="8" t="s">
        <v>286</v>
      </c>
      <c r="BC51" s="8" t="s">
        <v>114</v>
      </c>
    </row>
    <row r="52" spans="1:55" x14ac:dyDescent="0.25">
      <c r="A52" s="8">
        <f t="shared" si="4"/>
        <v>51</v>
      </c>
      <c r="B52" s="9">
        <v>45809</v>
      </c>
      <c r="C52" s="8" t="s">
        <v>287</v>
      </c>
      <c r="D52" s="8">
        <v>1834</v>
      </c>
      <c r="E52" s="8"/>
      <c r="F52" s="8" t="s">
        <v>289</v>
      </c>
      <c r="G52" s="8" t="s">
        <v>53</v>
      </c>
      <c r="H52" s="8" t="s">
        <v>291</v>
      </c>
      <c r="I52" s="8" t="s">
        <v>53</v>
      </c>
      <c r="J52" s="8" t="s">
        <v>221</v>
      </c>
      <c r="K52" s="8" t="s">
        <v>134</v>
      </c>
      <c r="L52" s="8" t="s">
        <v>114</v>
      </c>
      <c r="M52" s="8" t="s">
        <v>137</v>
      </c>
      <c r="N52" s="8">
        <v>7800</v>
      </c>
      <c r="O52" s="11">
        <v>0</v>
      </c>
      <c r="P52" s="11">
        <v>0</v>
      </c>
      <c r="Q52" s="11">
        <f>N52</f>
        <v>7800</v>
      </c>
      <c r="R52" s="11">
        <v>6300</v>
      </c>
      <c r="S52" s="11" t="s">
        <v>171</v>
      </c>
      <c r="T52" s="11"/>
      <c r="U52" s="7">
        <v>45820</v>
      </c>
      <c r="V52" s="7" t="s">
        <v>191</v>
      </c>
      <c r="W52" s="7">
        <v>45818</v>
      </c>
      <c r="X52" s="8" t="s">
        <v>50</v>
      </c>
      <c r="Y52" s="8"/>
      <c r="Z52" s="8"/>
      <c r="AA52" s="8"/>
      <c r="AB52" s="8"/>
      <c r="AC52" s="8"/>
      <c r="AD52" s="8"/>
      <c r="AE52" s="7" t="s">
        <v>131</v>
      </c>
      <c r="AF52" s="8">
        <v>4000</v>
      </c>
      <c r="AG52" s="8">
        <v>2300</v>
      </c>
      <c r="AH52" s="8" t="s">
        <v>131</v>
      </c>
      <c r="AI52" s="8" t="s">
        <v>131</v>
      </c>
      <c r="AJ52" s="8">
        <v>1500</v>
      </c>
      <c r="AK52" s="8" t="s">
        <v>131</v>
      </c>
      <c r="AL52" s="8" t="s">
        <v>131</v>
      </c>
      <c r="AM52" s="8" t="s">
        <v>131</v>
      </c>
      <c r="AN52" s="8" t="s">
        <v>131</v>
      </c>
      <c r="AO52" s="11"/>
      <c r="AP52" s="11" t="s">
        <v>227</v>
      </c>
      <c r="AQ52" s="11" t="s">
        <v>171</v>
      </c>
      <c r="AR52" s="11"/>
      <c r="AS52" s="11">
        <f>N52-R52</f>
        <v>1500</v>
      </c>
      <c r="AT52" s="11"/>
      <c r="AU52" s="11"/>
      <c r="AV52" s="11"/>
      <c r="AW52" s="11"/>
      <c r="AX52" s="8" t="s">
        <v>131</v>
      </c>
      <c r="AY52" s="8" t="s">
        <v>288</v>
      </c>
      <c r="AZ52" s="8" t="s">
        <v>290</v>
      </c>
      <c r="BA52" s="8" t="s">
        <v>131</v>
      </c>
      <c r="BB52" s="8" t="s">
        <v>143</v>
      </c>
      <c r="BC52" s="8" t="s">
        <v>114</v>
      </c>
    </row>
    <row r="53" spans="1:55" x14ac:dyDescent="0.25">
      <c r="A53" s="8">
        <f t="shared" si="4"/>
        <v>52</v>
      </c>
      <c r="B53" s="9">
        <v>45809</v>
      </c>
      <c r="C53" s="8" t="s">
        <v>292</v>
      </c>
      <c r="D53" s="8">
        <v>1840</v>
      </c>
      <c r="E53" s="8"/>
      <c r="F53" s="8" t="s">
        <v>294</v>
      </c>
      <c r="G53" s="8" t="s">
        <v>84</v>
      </c>
      <c r="H53" s="8" t="s">
        <v>91</v>
      </c>
      <c r="I53" s="8" t="s">
        <v>53</v>
      </c>
      <c r="J53" s="8" t="s">
        <v>221</v>
      </c>
      <c r="K53" s="8" t="s">
        <v>133</v>
      </c>
      <c r="L53" s="8" t="s">
        <v>113</v>
      </c>
      <c r="M53" s="8" t="s">
        <v>135</v>
      </c>
      <c r="N53" s="8">
        <v>20400</v>
      </c>
      <c r="O53" s="11">
        <v>0</v>
      </c>
      <c r="P53" s="11">
        <v>0</v>
      </c>
      <c r="Q53" s="11">
        <f>N53</f>
        <v>20400</v>
      </c>
      <c r="R53" s="11">
        <v>19000</v>
      </c>
      <c r="S53" s="11" t="s">
        <v>171</v>
      </c>
      <c r="T53" s="11"/>
      <c r="U53" s="7">
        <v>45824</v>
      </c>
      <c r="V53" s="7" t="s">
        <v>202</v>
      </c>
      <c r="W53" s="7">
        <v>45821</v>
      </c>
      <c r="X53" s="8" t="s">
        <v>50</v>
      </c>
      <c r="Y53" s="8"/>
      <c r="Z53" s="8"/>
      <c r="AA53" s="8"/>
      <c r="AB53" s="8"/>
      <c r="AC53" s="8"/>
      <c r="AD53" s="8"/>
      <c r="AE53" s="7" t="s">
        <v>131</v>
      </c>
      <c r="AF53" s="6">
        <v>7700</v>
      </c>
      <c r="AG53" s="6">
        <v>6500</v>
      </c>
      <c r="AH53" s="6">
        <v>2000</v>
      </c>
      <c r="AI53" s="8">
        <v>700</v>
      </c>
      <c r="AJ53" s="8">
        <v>1500</v>
      </c>
      <c r="AK53" s="8">
        <v>2000</v>
      </c>
      <c r="AL53" s="8" t="s">
        <v>131</v>
      </c>
      <c r="AM53" s="8" t="s">
        <v>131</v>
      </c>
      <c r="AN53" s="8" t="s">
        <v>131</v>
      </c>
      <c r="AO53" s="11"/>
      <c r="AP53" s="11" t="s">
        <v>227</v>
      </c>
      <c r="AQ53" s="11" t="s">
        <v>171</v>
      </c>
      <c r="AR53" s="11"/>
      <c r="AS53" s="11">
        <f>N53-R53</f>
        <v>1400</v>
      </c>
      <c r="AT53" s="11"/>
      <c r="AU53" s="11"/>
      <c r="AV53" s="11"/>
      <c r="AW53" s="11"/>
      <c r="AX53" s="8" t="s">
        <v>131</v>
      </c>
      <c r="AY53" s="8" t="s">
        <v>293</v>
      </c>
      <c r="AZ53" s="8" t="s">
        <v>295</v>
      </c>
      <c r="BA53" s="8" t="s">
        <v>131</v>
      </c>
      <c r="BB53" s="8" t="s">
        <v>92</v>
      </c>
      <c r="BC53" s="8" t="s">
        <v>113</v>
      </c>
    </row>
    <row r="54" spans="1:55" x14ac:dyDescent="0.25">
      <c r="A54" s="8">
        <f t="shared" si="4"/>
        <v>53</v>
      </c>
      <c r="B54" s="9">
        <v>45809</v>
      </c>
      <c r="C54" s="8" t="s">
        <v>296</v>
      </c>
      <c r="D54" s="8">
        <v>1841</v>
      </c>
      <c r="E54" s="8"/>
      <c r="F54" s="8" t="s">
        <v>298</v>
      </c>
      <c r="G54" s="8" t="s">
        <v>53</v>
      </c>
      <c r="H54" s="8" t="s">
        <v>300</v>
      </c>
      <c r="I54" s="8" t="s">
        <v>53</v>
      </c>
      <c r="J54" s="8" t="s">
        <v>221</v>
      </c>
      <c r="K54" s="8" t="s">
        <v>134</v>
      </c>
      <c r="L54" s="8" t="s">
        <v>114</v>
      </c>
      <c r="M54" s="8" t="s">
        <v>137</v>
      </c>
      <c r="N54" s="8">
        <v>7800</v>
      </c>
      <c r="O54" s="11">
        <v>0</v>
      </c>
      <c r="P54" s="11">
        <v>0</v>
      </c>
      <c r="Q54" s="11">
        <f>N54</f>
        <v>7800</v>
      </c>
      <c r="R54" s="11">
        <v>6300</v>
      </c>
      <c r="S54" s="11" t="s">
        <v>171</v>
      </c>
      <c r="T54" s="11"/>
      <c r="U54" s="7">
        <v>45821</v>
      </c>
      <c r="V54" s="7" t="s">
        <v>191</v>
      </c>
      <c r="W54" s="7">
        <v>45821</v>
      </c>
      <c r="X54" s="8" t="s">
        <v>50</v>
      </c>
      <c r="Y54" s="8"/>
      <c r="Z54" s="8"/>
      <c r="AA54" s="8"/>
      <c r="AB54" s="8"/>
      <c r="AC54" s="8"/>
      <c r="AD54" s="8"/>
      <c r="AE54" s="7">
        <v>45821</v>
      </c>
      <c r="AF54" s="8">
        <v>4000</v>
      </c>
      <c r="AG54" s="8">
        <v>2300</v>
      </c>
      <c r="AH54" s="8" t="s">
        <v>131</v>
      </c>
      <c r="AI54" s="8" t="s">
        <v>131</v>
      </c>
      <c r="AJ54" s="8">
        <v>1500</v>
      </c>
      <c r="AK54" s="8" t="s">
        <v>131</v>
      </c>
      <c r="AL54" s="8" t="s">
        <v>131</v>
      </c>
      <c r="AM54" s="8" t="s">
        <v>131</v>
      </c>
      <c r="AN54" s="8" t="s">
        <v>131</v>
      </c>
      <c r="AO54" s="11"/>
      <c r="AP54" s="11" t="s">
        <v>227</v>
      </c>
      <c r="AQ54" s="11" t="s">
        <v>171</v>
      </c>
      <c r="AR54" s="11"/>
      <c r="AS54" s="11">
        <f>N54-R54</f>
        <v>1500</v>
      </c>
      <c r="AT54" s="11"/>
      <c r="AU54" s="11"/>
      <c r="AV54" s="11"/>
      <c r="AW54" s="11"/>
      <c r="AX54" s="8" t="s">
        <v>131</v>
      </c>
      <c r="AY54" s="8" t="s">
        <v>297</v>
      </c>
      <c r="AZ54" s="8" t="s">
        <v>299</v>
      </c>
      <c r="BA54" s="8" t="s">
        <v>131</v>
      </c>
      <c r="BB54" s="8" t="s">
        <v>301</v>
      </c>
      <c r="BC54" s="8" t="s">
        <v>114</v>
      </c>
    </row>
    <row r="55" spans="1:55" x14ac:dyDescent="0.25">
      <c r="A55" s="8">
        <f t="shared" si="4"/>
        <v>54</v>
      </c>
      <c r="B55" s="9">
        <v>45809</v>
      </c>
      <c r="C55" s="8" t="s">
        <v>302</v>
      </c>
      <c r="D55" s="8">
        <v>1842</v>
      </c>
      <c r="E55" s="8"/>
      <c r="F55" s="8" t="s">
        <v>298</v>
      </c>
      <c r="G55" s="8" t="s">
        <v>53</v>
      </c>
      <c r="H55" s="8" t="s">
        <v>303</v>
      </c>
      <c r="I55" s="8" t="s">
        <v>53</v>
      </c>
      <c r="J55" s="8" t="s">
        <v>221</v>
      </c>
      <c r="K55" s="8" t="s">
        <v>134</v>
      </c>
      <c r="L55" s="8" t="s">
        <v>114</v>
      </c>
      <c r="M55" s="8" t="s">
        <v>135</v>
      </c>
      <c r="N55" s="8">
        <v>12500</v>
      </c>
      <c r="O55" s="11">
        <v>0</v>
      </c>
      <c r="P55" s="11">
        <v>0</v>
      </c>
      <c r="Q55" s="11">
        <f>N55</f>
        <v>12500</v>
      </c>
      <c r="R55" s="11">
        <v>11300</v>
      </c>
      <c r="S55" s="11" t="s">
        <v>171</v>
      </c>
      <c r="T55" s="11"/>
      <c r="U55" s="7">
        <v>45821</v>
      </c>
      <c r="V55" s="7" t="s">
        <v>202</v>
      </c>
      <c r="W55" s="7">
        <v>45821</v>
      </c>
      <c r="X55" s="8" t="s">
        <v>50</v>
      </c>
      <c r="Y55" s="8"/>
      <c r="Z55" s="8"/>
      <c r="AA55" s="8"/>
      <c r="AB55" s="8"/>
      <c r="AC55" s="8"/>
      <c r="AD55" s="8"/>
      <c r="AE55" s="7" t="s">
        <v>131</v>
      </c>
      <c r="AF55" s="6">
        <v>4000</v>
      </c>
      <c r="AG55" s="8">
        <v>2300</v>
      </c>
      <c r="AH55" s="6">
        <v>2000</v>
      </c>
      <c r="AI55" s="8">
        <v>700</v>
      </c>
      <c r="AJ55" s="8">
        <v>1500</v>
      </c>
      <c r="AK55" s="8">
        <v>2000</v>
      </c>
      <c r="AL55" s="8" t="s">
        <v>131</v>
      </c>
      <c r="AM55" s="8" t="s">
        <v>131</v>
      </c>
      <c r="AN55" s="8" t="s">
        <v>131</v>
      </c>
      <c r="AO55" s="11"/>
      <c r="AP55" s="11" t="s">
        <v>305</v>
      </c>
      <c r="AQ55" s="11" t="s">
        <v>171</v>
      </c>
      <c r="AR55" s="11"/>
      <c r="AS55" s="11">
        <f>N55-R55</f>
        <v>1200</v>
      </c>
      <c r="AT55" s="11"/>
      <c r="AU55" s="11"/>
      <c r="AV55" s="11"/>
      <c r="AW55" s="11"/>
      <c r="AX55" s="8" t="s">
        <v>131</v>
      </c>
      <c r="AY55" s="8" t="s">
        <v>131</v>
      </c>
      <c r="AZ55" s="8" t="s">
        <v>299</v>
      </c>
      <c r="BA55" s="8" t="s">
        <v>131</v>
      </c>
      <c r="BB55" s="8" t="s">
        <v>304</v>
      </c>
      <c r="BC55" s="8" t="s">
        <v>114</v>
      </c>
    </row>
    <row r="56" spans="1:55" x14ac:dyDescent="0.25">
      <c r="A56" s="8">
        <f t="shared" si="4"/>
        <v>55</v>
      </c>
      <c r="B56" s="9">
        <v>45809</v>
      </c>
      <c r="C56" s="8" t="s">
        <v>307</v>
      </c>
      <c r="D56" s="8">
        <v>1850</v>
      </c>
      <c r="E56" s="8"/>
      <c r="F56" s="8" t="s">
        <v>309</v>
      </c>
      <c r="G56" s="8" t="s">
        <v>53</v>
      </c>
      <c r="H56" s="8" t="s">
        <v>91</v>
      </c>
      <c r="I56" s="8" t="s">
        <v>53</v>
      </c>
      <c r="J56" s="8" t="s">
        <v>221</v>
      </c>
      <c r="K56" s="8" t="s">
        <v>134</v>
      </c>
      <c r="L56" s="8" t="s">
        <v>113</v>
      </c>
      <c r="M56" s="8" t="s">
        <v>135</v>
      </c>
      <c r="N56" s="8">
        <v>12500</v>
      </c>
      <c r="O56" s="11">
        <v>0</v>
      </c>
      <c r="P56" s="11">
        <v>0</v>
      </c>
      <c r="Q56" s="11">
        <f>N56</f>
        <v>12500</v>
      </c>
      <c r="R56" s="11">
        <v>11300</v>
      </c>
      <c r="S56" s="11" t="s">
        <v>171</v>
      </c>
      <c r="T56" s="11"/>
      <c r="U56" s="7">
        <v>45824</v>
      </c>
      <c r="V56" s="7" t="s">
        <v>202</v>
      </c>
      <c r="W56" s="7">
        <v>45822</v>
      </c>
      <c r="X56" s="8" t="s">
        <v>50</v>
      </c>
      <c r="Y56" s="8"/>
      <c r="Z56" s="8"/>
      <c r="AA56" s="8"/>
      <c r="AB56" s="8"/>
      <c r="AC56" s="8"/>
      <c r="AD56" s="8"/>
      <c r="AE56" s="7" t="s">
        <v>131</v>
      </c>
      <c r="AF56" s="6">
        <v>4000</v>
      </c>
      <c r="AG56" s="8">
        <v>2300</v>
      </c>
      <c r="AH56" s="6">
        <v>2000</v>
      </c>
      <c r="AI56" s="8">
        <v>700</v>
      </c>
      <c r="AJ56" s="8">
        <v>1500</v>
      </c>
      <c r="AK56" s="8">
        <v>2000</v>
      </c>
      <c r="AL56" s="8" t="s">
        <v>131</v>
      </c>
      <c r="AM56" s="8" t="s">
        <v>131</v>
      </c>
      <c r="AN56" s="8" t="s">
        <v>131</v>
      </c>
      <c r="AO56" s="11"/>
      <c r="AP56" s="11" t="s">
        <v>227</v>
      </c>
      <c r="AQ56" s="11" t="s">
        <v>171</v>
      </c>
      <c r="AR56" s="11"/>
      <c r="AS56" s="11">
        <f>N56-R56</f>
        <v>1200</v>
      </c>
      <c r="AT56" s="11"/>
      <c r="AU56" s="11"/>
      <c r="AV56" s="11"/>
      <c r="AW56" s="11"/>
      <c r="AX56" s="8" t="s">
        <v>131</v>
      </c>
      <c r="AY56" s="8" t="s">
        <v>308</v>
      </c>
      <c r="AZ56" s="8" t="s">
        <v>94</v>
      </c>
      <c r="BA56" s="8" t="s">
        <v>131</v>
      </c>
      <c r="BB56" s="8" t="s">
        <v>92</v>
      </c>
      <c r="BC56" s="8" t="s">
        <v>113</v>
      </c>
    </row>
    <row r="57" spans="1:55" x14ac:dyDescent="0.25">
      <c r="A57" s="8">
        <f t="shared" si="4"/>
        <v>56</v>
      </c>
      <c r="B57" s="9">
        <v>45809</v>
      </c>
      <c r="C57" s="8" t="s">
        <v>310</v>
      </c>
      <c r="D57" s="8">
        <v>1856</v>
      </c>
      <c r="E57" s="8"/>
      <c r="F57" s="8" t="s">
        <v>312</v>
      </c>
      <c r="G57" s="8" t="s">
        <v>56</v>
      </c>
      <c r="H57" s="8" t="s">
        <v>78</v>
      </c>
      <c r="I57" s="8" t="s">
        <v>56</v>
      </c>
      <c r="J57" s="8" t="s">
        <v>221</v>
      </c>
      <c r="K57" s="8" t="s">
        <v>132</v>
      </c>
      <c r="L57" s="8" t="s">
        <v>113</v>
      </c>
      <c r="M57" s="8" t="s">
        <v>135</v>
      </c>
      <c r="N57" s="8">
        <v>18100</v>
      </c>
      <c r="O57" s="11">
        <v>0</v>
      </c>
      <c r="P57" s="11">
        <v>0</v>
      </c>
      <c r="Q57" s="11">
        <f>N57</f>
        <v>18100</v>
      </c>
      <c r="R57" s="11">
        <v>15500</v>
      </c>
      <c r="S57" s="11" t="s">
        <v>171</v>
      </c>
      <c r="T57" s="11"/>
      <c r="U57" s="7">
        <v>45827</v>
      </c>
      <c r="V57" s="7" t="s">
        <v>202</v>
      </c>
      <c r="W57" s="7">
        <v>45826</v>
      </c>
      <c r="X57" s="8" t="s">
        <v>50</v>
      </c>
      <c r="Y57" s="8"/>
      <c r="Z57" s="8"/>
      <c r="AA57" s="8"/>
      <c r="AB57" s="8"/>
      <c r="AC57" s="8"/>
      <c r="AD57" s="8"/>
      <c r="AE57" s="7" t="s">
        <v>131</v>
      </c>
      <c r="AF57" s="8">
        <v>5400</v>
      </c>
      <c r="AG57" s="6">
        <v>6500</v>
      </c>
      <c r="AH57" s="8">
        <v>2000</v>
      </c>
      <c r="AI57" s="8">
        <v>700</v>
      </c>
      <c r="AJ57" s="8">
        <v>1500</v>
      </c>
      <c r="AK57" s="8">
        <v>2000</v>
      </c>
      <c r="AL57" s="8" t="s">
        <v>131</v>
      </c>
      <c r="AM57" s="8" t="s">
        <v>131</v>
      </c>
      <c r="AN57" s="8" t="s">
        <v>131</v>
      </c>
      <c r="AO57" s="11"/>
      <c r="AP57" s="11" t="s">
        <v>227</v>
      </c>
      <c r="AQ57" s="11" t="s">
        <v>171</v>
      </c>
      <c r="AR57" s="11"/>
      <c r="AS57" s="11">
        <f>N57-R57</f>
        <v>2600</v>
      </c>
      <c r="AT57" s="11"/>
      <c r="AU57" s="11"/>
      <c r="AV57" s="11"/>
      <c r="AW57" s="11"/>
      <c r="AX57" s="8" t="s">
        <v>131</v>
      </c>
      <c r="AY57" s="8" t="s">
        <v>311</v>
      </c>
      <c r="AZ57" s="8" t="s">
        <v>313</v>
      </c>
      <c r="BA57" s="8" t="s">
        <v>131</v>
      </c>
      <c r="BB57" s="8" t="s">
        <v>93</v>
      </c>
      <c r="BC57" s="8" t="s">
        <v>113</v>
      </c>
    </row>
    <row r="58" spans="1:55" x14ac:dyDescent="0.25">
      <c r="A58" s="6">
        <v>1</v>
      </c>
      <c r="B58" s="9">
        <v>45870</v>
      </c>
      <c r="C58" s="8" t="s">
        <v>314</v>
      </c>
      <c r="D58" s="8">
        <v>1679</v>
      </c>
      <c r="E58" s="8"/>
      <c r="F58" s="8" t="s">
        <v>315</v>
      </c>
      <c r="G58" s="8" t="s">
        <v>56</v>
      </c>
      <c r="H58" s="8" t="s">
        <v>78</v>
      </c>
      <c r="I58" s="8" t="s">
        <v>56</v>
      </c>
      <c r="J58" s="8" t="s">
        <v>49</v>
      </c>
      <c r="K58" s="8" t="s">
        <v>132</v>
      </c>
      <c r="L58" s="8" t="s">
        <v>113</v>
      </c>
      <c r="M58" s="8" t="s">
        <v>135</v>
      </c>
      <c r="N58" s="8">
        <v>18100</v>
      </c>
      <c r="O58" s="11"/>
      <c r="P58" s="8" t="s">
        <v>202</v>
      </c>
      <c r="Q58" s="11"/>
      <c r="R58" s="11">
        <v>15500</v>
      </c>
      <c r="S58" s="19" t="s">
        <v>171</v>
      </c>
      <c r="T58" s="8" t="s">
        <v>131</v>
      </c>
      <c r="U58" s="7">
        <v>45863</v>
      </c>
      <c r="V58" s="7" t="s">
        <v>138</v>
      </c>
      <c r="W58" s="7">
        <v>45777</v>
      </c>
      <c r="X58" s="8" t="s">
        <v>50</v>
      </c>
      <c r="Y58" s="8"/>
      <c r="Z58" s="8"/>
      <c r="AA58" s="8"/>
      <c r="AB58" s="8"/>
      <c r="AC58" s="8"/>
      <c r="AD58" s="8"/>
      <c r="AE58" s="7">
        <v>45866</v>
      </c>
      <c r="AF58" s="6">
        <v>5400</v>
      </c>
      <c r="AG58" s="6">
        <v>6500</v>
      </c>
      <c r="AH58" s="6">
        <v>2000</v>
      </c>
      <c r="AI58" s="8">
        <v>700</v>
      </c>
      <c r="AJ58" s="8">
        <v>1500</v>
      </c>
      <c r="AK58" s="6">
        <v>2000</v>
      </c>
      <c r="AL58" s="8" t="s">
        <v>131</v>
      </c>
      <c r="AM58" s="8" t="s">
        <v>131</v>
      </c>
      <c r="AN58" s="8" t="s">
        <v>131</v>
      </c>
      <c r="AO58" s="11"/>
      <c r="AP58" s="11"/>
      <c r="AQ58" s="11"/>
      <c r="AR58" s="11"/>
      <c r="AS58" s="11">
        <f>N58-R58</f>
        <v>2600</v>
      </c>
      <c r="AT58" s="11"/>
      <c r="AU58" s="11"/>
      <c r="AV58" s="11"/>
      <c r="AW58" s="11"/>
      <c r="AX58" s="8" t="s">
        <v>161</v>
      </c>
      <c r="AY58" s="8">
        <v>45193706</v>
      </c>
      <c r="AZ58" s="8" t="s">
        <v>316</v>
      </c>
      <c r="BA58" s="8" t="s">
        <v>131</v>
      </c>
      <c r="BB58" s="8" t="s">
        <v>93</v>
      </c>
      <c r="BC58" s="8" t="s">
        <v>113</v>
      </c>
    </row>
    <row r="59" spans="1:55" x14ac:dyDescent="0.25">
      <c r="A59" s="6">
        <v>2</v>
      </c>
      <c r="B59" s="9">
        <v>45870</v>
      </c>
      <c r="C59" s="8" t="s">
        <v>242</v>
      </c>
      <c r="D59" s="8">
        <v>1795</v>
      </c>
      <c r="E59" s="8"/>
      <c r="F59" s="8" t="s">
        <v>244</v>
      </c>
      <c r="G59" s="8" t="s">
        <v>53</v>
      </c>
      <c r="H59" s="8" t="s">
        <v>246</v>
      </c>
      <c r="I59" s="8" t="s">
        <v>53</v>
      </c>
      <c r="J59" s="8" t="s">
        <v>49</v>
      </c>
      <c r="K59" s="8" t="s">
        <v>132</v>
      </c>
      <c r="L59" s="8" t="s">
        <v>114</v>
      </c>
      <c r="M59" s="8" t="s">
        <v>137</v>
      </c>
      <c r="N59" s="8">
        <v>6500</v>
      </c>
      <c r="O59" s="11"/>
      <c r="P59" s="8" t="s">
        <v>202</v>
      </c>
      <c r="Q59" s="11"/>
      <c r="R59" s="20">
        <v>5500</v>
      </c>
      <c r="S59" s="19" t="s">
        <v>171</v>
      </c>
      <c r="T59" s="8" t="s">
        <v>131</v>
      </c>
      <c r="U59" s="7">
        <v>45858</v>
      </c>
      <c r="V59" s="7" t="s">
        <v>138</v>
      </c>
      <c r="W59" s="7">
        <v>45807</v>
      </c>
      <c r="X59" s="8" t="s">
        <v>50</v>
      </c>
      <c r="Y59" s="8"/>
      <c r="Z59" s="8"/>
      <c r="AA59" s="8"/>
      <c r="AB59" s="8"/>
      <c r="AC59" s="8"/>
      <c r="AD59" s="8"/>
      <c r="AE59" s="7">
        <v>45858</v>
      </c>
      <c r="AF59" s="6" t="s">
        <v>131</v>
      </c>
      <c r="AG59" s="8">
        <v>6500</v>
      </c>
      <c r="AH59" s="8" t="s">
        <v>131</v>
      </c>
      <c r="AI59" s="8" t="s">
        <v>131</v>
      </c>
      <c r="AJ59" s="8" t="s">
        <v>131</v>
      </c>
      <c r="AK59" s="8" t="s">
        <v>131</v>
      </c>
      <c r="AL59" s="8" t="s">
        <v>131</v>
      </c>
      <c r="AM59" s="8" t="s">
        <v>131</v>
      </c>
      <c r="AN59" s="8" t="s">
        <v>131</v>
      </c>
      <c r="AO59" s="11"/>
      <c r="AP59" s="11"/>
      <c r="AQ59" s="11"/>
      <c r="AR59" s="11"/>
      <c r="AS59" s="11">
        <f>N59-R59</f>
        <v>1000</v>
      </c>
      <c r="AT59" s="11"/>
      <c r="AU59" s="11"/>
      <c r="AV59" s="11"/>
      <c r="AW59" s="11"/>
      <c r="AX59" s="8" t="s">
        <v>164</v>
      </c>
      <c r="AY59" s="8" t="s">
        <v>243</v>
      </c>
      <c r="AZ59" s="8" t="s">
        <v>245</v>
      </c>
      <c r="BA59" s="8" t="s">
        <v>131</v>
      </c>
      <c r="BB59" s="8" t="s">
        <v>143</v>
      </c>
      <c r="BC59" s="8" t="s">
        <v>114</v>
      </c>
    </row>
    <row r="60" spans="1:55" x14ac:dyDescent="0.25">
      <c r="A60" s="6">
        <v>3</v>
      </c>
      <c r="B60" s="9">
        <v>45870</v>
      </c>
      <c r="C60" s="18" t="s">
        <v>267</v>
      </c>
      <c r="D60" s="8">
        <v>1816</v>
      </c>
      <c r="E60" s="8"/>
      <c r="F60" s="8" t="s">
        <v>269</v>
      </c>
      <c r="G60" s="8" t="s">
        <v>53</v>
      </c>
      <c r="H60" s="8" t="s">
        <v>91</v>
      </c>
      <c r="I60" s="8" t="s">
        <v>53</v>
      </c>
      <c r="J60" s="8" t="s">
        <v>49</v>
      </c>
      <c r="K60" s="8" t="s">
        <v>132</v>
      </c>
      <c r="L60" s="8" t="s">
        <v>113</v>
      </c>
      <c r="M60" s="8" t="s">
        <v>135</v>
      </c>
      <c r="N60" s="8">
        <v>18600</v>
      </c>
      <c r="O60" s="11"/>
      <c r="P60" s="8" t="s">
        <v>202</v>
      </c>
      <c r="Q60" s="11"/>
      <c r="R60" s="20">
        <v>17200</v>
      </c>
      <c r="S60" s="19" t="s">
        <v>318</v>
      </c>
      <c r="T60" s="8" t="s">
        <v>317</v>
      </c>
      <c r="U60" s="7">
        <v>45858</v>
      </c>
      <c r="V60" s="7" t="s">
        <v>139</v>
      </c>
      <c r="W60" s="7">
        <v>45814</v>
      </c>
      <c r="X60" s="8" t="s">
        <v>50</v>
      </c>
      <c r="Y60" s="8"/>
      <c r="Z60" s="8"/>
      <c r="AA60" s="8"/>
      <c r="AB60" s="8"/>
      <c r="AC60" s="8"/>
      <c r="AD60" s="8"/>
      <c r="AE60" s="7" t="s">
        <v>131</v>
      </c>
      <c r="AF60" s="6"/>
      <c r="AG60" s="6"/>
      <c r="AH60" s="6"/>
      <c r="AI60" s="8"/>
      <c r="AJ60" s="8"/>
      <c r="AK60" s="6"/>
      <c r="AL60" s="8"/>
      <c r="AM60" s="8"/>
      <c r="AN60" s="8" t="s">
        <v>131</v>
      </c>
      <c r="AO60" s="11"/>
      <c r="AP60" s="11"/>
      <c r="AQ60" s="11"/>
      <c r="AR60" s="11"/>
      <c r="AS60" s="11">
        <f>N60-R60</f>
        <v>1400</v>
      </c>
      <c r="AT60" s="11"/>
      <c r="AU60" s="11"/>
      <c r="AV60" s="11"/>
      <c r="AW60" s="11"/>
      <c r="AX60" s="8" t="s">
        <v>161</v>
      </c>
      <c r="AY60" s="8" t="s">
        <v>268</v>
      </c>
      <c r="AZ60" s="8" t="s">
        <v>270</v>
      </c>
      <c r="BA60" s="8" t="s">
        <v>131</v>
      </c>
      <c r="BB60" s="8" t="s">
        <v>92</v>
      </c>
      <c r="BC60" s="8" t="s">
        <v>113</v>
      </c>
    </row>
    <row r="61" spans="1:55" x14ac:dyDescent="0.25">
      <c r="A61" s="6">
        <v>4</v>
      </c>
      <c r="B61" s="9">
        <v>45870</v>
      </c>
      <c r="C61" s="18" t="s">
        <v>277</v>
      </c>
      <c r="D61" s="8">
        <v>1822</v>
      </c>
      <c r="E61" s="8"/>
      <c r="F61" s="8" t="s">
        <v>278</v>
      </c>
      <c r="G61" s="8" t="s">
        <v>53</v>
      </c>
      <c r="H61" s="8" t="s">
        <v>91</v>
      </c>
      <c r="I61" s="8" t="s">
        <v>53</v>
      </c>
      <c r="J61" s="8" t="s">
        <v>49</v>
      </c>
      <c r="K61" s="8" t="s">
        <v>132</v>
      </c>
      <c r="L61" s="8" t="s">
        <v>113</v>
      </c>
      <c r="M61" s="8" t="s">
        <v>135</v>
      </c>
      <c r="N61" s="8">
        <v>6500</v>
      </c>
      <c r="O61" s="11"/>
      <c r="P61" s="8" t="s">
        <v>202</v>
      </c>
      <c r="Q61" s="11"/>
      <c r="R61" s="20">
        <v>5500</v>
      </c>
      <c r="S61" s="19" t="s">
        <v>171</v>
      </c>
      <c r="T61" s="8" t="s">
        <v>131</v>
      </c>
      <c r="U61" s="7">
        <v>45858</v>
      </c>
      <c r="V61" s="7" t="s">
        <v>139</v>
      </c>
      <c r="W61" s="7">
        <v>45815</v>
      </c>
      <c r="X61" s="8" t="s">
        <v>50</v>
      </c>
      <c r="Y61" s="8"/>
      <c r="Z61" s="8"/>
      <c r="AA61" s="8"/>
      <c r="AB61" s="8"/>
      <c r="AC61" s="8"/>
      <c r="AD61" s="8"/>
      <c r="AE61" s="7" t="s">
        <v>131</v>
      </c>
      <c r="AF61" s="6" t="s">
        <v>131</v>
      </c>
      <c r="AG61" s="6">
        <v>6500</v>
      </c>
      <c r="AH61" s="6" t="s">
        <v>131</v>
      </c>
      <c r="AI61" s="8" t="s">
        <v>131</v>
      </c>
      <c r="AJ61" s="8" t="s">
        <v>131</v>
      </c>
      <c r="AK61" s="6" t="s">
        <v>131</v>
      </c>
      <c r="AL61" s="8" t="s">
        <v>131</v>
      </c>
      <c r="AM61" s="8" t="s">
        <v>131</v>
      </c>
      <c r="AN61" s="8" t="s">
        <v>131</v>
      </c>
      <c r="AO61" s="11"/>
      <c r="AP61" s="11"/>
      <c r="AQ61" s="11"/>
      <c r="AR61" s="11"/>
      <c r="AS61" s="11">
        <f>N61-R61</f>
        <v>1000</v>
      </c>
      <c r="AT61" s="11"/>
      <c r="AU61" s="11"/>
      <c r="AV61" s="11"/>
      <c r="AW61" s="11"/>
      <c r="AX61" s="8" t="s">
        <v>161</v>
      </c>
      <c r="AY61" s="8">
        <v>57693935</v>
      </c>
      <c r="AZ61" s="8" t="s">
        <v>279</v>
      </c>
      <c r="BA61" s="8" t="s">
        <v>131</v>
      </c>
      <c r="BB61" s="8" t="s">
        <v>92</v>
      </c>
      <c r="BC61" s="8" t="s">
        <v>113</v>
      </c>
    </row>
    <row r="62" spans="1:55" x14ac:dyDescent="0.25">
      <c r="A62" s="6">
        <v>5</v>
      </c>
      <c r="B62" s="9">
        <v>45870</v>
      </c>
      <c r="C62" s="8" t="s">
        <v>319</v>
      </c>
      <c r="D62" s="8">
        <v>1847</v>
      </c>
      <c r="E62" s="8"/>
      <c r="F62" s="8" t="s">
        <v>321</v>
      </c>
      <c r="G62" s="8" t="s">
        <v>53</v>
      </c>
      <c r="H62" s="8" t="s">
        <v>91</v>
      </c>
      <c r="I62" s="8" t="s">
        <v>53</v>
      </c>
      <c r="J62" s="8" t="s">
        <v>49</v>
      </c>
      <c r="K62" s="8" t="s">
        <v>132</v>
      </c>
      <c r="L62" s="8" t="s">
        <v>113</v>
      </c>
      <c r="M62" s="8" t="s">
        <v>135</v>
      </c>
      <c r="N62" s="8">
        <v>19300</v>
      </c>
      <c r="O62" s="11"/>
      <c r="P62" s="8" t="s">
        <v>202</v>
      </c>
      <c r="Q62" s="11"/>
      <c r="R62" s="11">
        <v>16800</v>
      </c>
      <c r="S62" s="19" t="s">
        <v>171</v>
      </c>
      <c r="T62" s="8" t="s">
        <v>323</v>
      </c>
      <c r="U62" s="7">
        <v>45859</v>
      </c>
      <c r="V62" s="7" t="s">
        <v>139</v>
      </c>
      <c r="W62" s="7">
        <v>45822</v>
      </c>
      <c r="X62" s="8" t="s">
        <v>50</v>
      </c>
      <c r="Y62" s="8"/>
      <c r="Z62" s="8"/>
      <c r="AA62" s="8"/>
      <c r="AB62" s="8"/>
      <c r="AC62" s="8"/>
      <c r="AD62" s="8"/>
      <c r="AE62" s="7" t="s">
        <v>131</v>
      </c>
      <c r="AF62" s="6">
        <v>5400</v>
      </c>
      <c r="AG62" s="6">
        <v>6500</v>
      </c>
      <c r="AH62" s="6">
        <v>2000</v>
      </c>
      <c r="AI62" s="8">
        <v>700</v>
      </c>
      <c r="AJ62" s="8">
        <v>1500</v>
      </c>
      <c r="AK62" s="6">
        <v>2000</v>
      </c>
      <c r="AL62" s="8" t="s">
        <v>131</v>
      </c>
      <c r="AM62" s="8">
        <v>1200</v>
      </c>
      <c r="AN62" s="8" t="s">
        <v>131</v>
      </c>
      <c r="AO62" s="11"/>
      <c r="AP62" s="11"/>
      <c r="AQ62" s="11"/>
      <c r="AR62" s="11"/>
      <c r="AS62" s="11">
        <f>N62-R62</f>
        <v>2500</v>
      </c>
      <c r="AT62" s="11"/>
      <c r="AU62" s="11"/>
      <c r="AV62" s="11"/>
      <c r="AW62" s="11"/>
      <c r="AX62" s="8" t="s">
        <v>161</v>
      </c>
      <c r="AY62" s="8" t="s">
        <v>320</v>
      </c>
      <c r="AZ62" s="8" t="s">
        <v>322</v>
      </c>
      <c r="BA62" s="8" t="s">
        <v>131</v>
      </c>
      <c r="BB62" s="8" t="s">
        <v>92</v>
      </c>
      <c r="BC62" s="8" t="s">
        <v>113</v>
      </c>
    </row>
    <row r="63" spans="1:55" x14ac:dyDescent="0.25">
      <c r="A63" s="6">
        <v>6</v>
      </c>
      <c r="B63" s="9">
        <v>45870</v>
      </c>
      <c r="C63" s="8" t="s">
        <v>324</v>
      </c>
      <c r="D63" s="8">
        <v>1875</v>
      </c>
      <c r="E63" s="8"/>
      <c r="F63" s="8" t="s">
        <v>325</v>
      </c>
      <c r="G63" s="8" t="s">
        <v>53</v>
      </c>
      <c r="H63" s="8" t="s">
        <v>91</v>
      </c>
      <c r="I63" s="8" t="s">
        <v>53</v>
      </c>
      <c r="J63" s="8" t="s">
        <v>49</v>
      </c>
      <c r="K63" s="8" t="s">
        <v>134</v>
      </c>
      <c r="L63" s="8" t="s">
        <v>114</v>
      </c>
      <c r="M63" s="8" t="s">
        <v>135</v>
      </c>
      <c r="N63" s="8">
        <v>12500</v>
      </c>
      <c r="O63" s="11"/>
      <c r="P63" s="8" t="s">
        <v>202</v>
      </c>
      <c r="Q63" s="11"/>
      <c r="R63" s="20">
        <v>10000</v>
      </c>
      <c r="S63" s="19" t="s">
        <v>171</v>
      </c>
      <c r="T63" s="8" t="s">
        <v>131</v>
      </c>
      <c r="U63" s="7">
        <v>45858</v>
      </c>
      <c r="V63" s="7" t="s">
        <v>139</v>
      </c>
      <c r="W63" s="7">
        <v>45832</v>
      </c>
      <c r="X63" s="8" t="s">
        <v>50</v>
      </c>
      <c r="Y63" s="8"/>
      <c r="Z63" s="8"/>
      <c r="AA63" s="8"/>
      <c r="AB63" s="8"/>
      <c r="AC63" s="8"/>
      <c r="AD63" s="8"/>
      <c r="AE63" s="7" t="s">
        <v>131</v>
      </c>
      <c r="AF63" s="6">
        <v>4000</v>
      </c>
      <c r="AG63" s="8">
        <v>2300</v>
      </c>
      <c r="AH63" s="6">
        <v>2000</v>
      </c>
      <c r="AI63" s="8">
        <v>700</v>
      </c>
      <c r="AJ63" s="8">
        <v>1500</v>
      </c>
      <c r="AK63" s="8">
        <v>2000</v>
      </c>
      <c r="AL63" s="8" t="s">
        <v>131</v>
      </c>
      <c r="AM63" s="8" t="s">
        <v>131</v>
      </c>
      <c r="AN63" s="8" t="s">
        <v>131</v>
      </c>
      <c r="AO63" s="11"/>
      <c r="AP63" s="11"/>
      <c r="AQ63" s="11"/>
      <c r="AR63" s="11"/>
      <c r="AS63" s="11">
        <f>N63-R63</f>
        <v>2500</v>
      </c>
      <c r="AT63" s="11"/>
      <c r="AU63" s="11"/>
      <c r="AV63" s="11"/>
      <c r="AW63" s="11"/>
      <c r="AX63" s="8" t="s">
        <v>164</v>
      </c>
      <c r="AY63" s="8">
        <v>48504244</v>
      </c>
      <c r="AZ63" s="8" t="s">
        <v>326</v>
      </c>
      <c r="BA63" s="8" t="s">
        <v>131</v>
      </c>
      <c r="BB63" s="8" t="s">
        <v>92</v>
      </c>
      <c r="BC63" s="8" t="s">
        <v>114</v>
      </c>
    </row>
    <row r="64" spans="1:55" x14ac:dyDescent="0.25">
      <c r="A64" s="6">
        <v>7</v>
      </c>
      <c r="B64" s="9">
        <v>45870</v>
      </c>
      <c r="C64" s="8" t="s">
        <v>327</v>
      </c>
      <c r="D64" s="8">
        <v>1881</v>
      </c>
      <c r="E64" s="8"/>
      <c r="F64" s="8" t="s">
        <v>329</v>
      </c>
      <c r="G64" s="8" t="s">
        <v>62</v>
      </c>
      <c r="H64" s="8" t="s">
        <v>78</v>
      </c>
      <c r="I64" s="8" t="s">
        <v>56</v>
      </c>
      <c r="J64" s="8" t="s">
        <v>49</v>
      </c>
      <c r="K64" s="8" t="s">
        <v>133</v>
      </c>
      <c r="L64" s="8" t="s">
        <v>113</v>
      </c>
      <c r="M64" s="8" t="s">
        <v>137</v>
      </c>
      <c r="N64" s="8">
        <v>15700</v>
      </c>
      <c r="O64" s="11"/>
      <c r="P64" s="8" t="s">
        <v>202</v>
      </c>
      <c r="Q64" s="11"/>
      <c r="R64" s="11">
        <v>16000</v>
      </c>
      <c r="S64" s="19" t="s">
        <v>171</v>
      </c>
      <c r="T64" s="8" t="s">
        <v>131</v>
      </c>
      <c r="U64" s="7">
        <v>45858</v>
      </c>
      <c r="V64" s="7" t="s">
        <v>138</v>
      </c>
      <c r="W64" s="7">
        <v>45833</v>
      </c>
      <c r="X64" s="8" t="s">
        <v>50</v>
      </c>
      <c r="Y64" s="8"/>
      <c r="Z64" s="8"/>
      <c r="AA64" s="8"/>
      <c r="AB64" s="8"/>
      <c r="AC64" s="8"/>
      <c r="AD64" s="8"/>
      <c r="AE64" s="7">
        <v>45883</v>
      </c>
      <c r="AF64" s="6">
        <v>7700</v>
      </c>
      <c r="AG64" s="6">
        <v>6500</v>
      </c>
      <c r="AH64" s="6" t="s">
        <v>131</v>
      </c>
      <c r="AI64" s="6" t="s">
        <v>131</v>
      </c>
      <c r="AJ64" s="6">
        <v>1500</v>
      </c>
      <c r="AK64" s="6" t="s">
        <v>131</v>
      </c>
      <c r="AL64" s="8" t="s">
        <v>131</v>
      </c>
      <c r="AM64" s="8" t="s">
        <v>131</v>
      </c>
      <c r="AN64" s="8" t="s">
        <v>131</v>
      </c>
      <c r="AO64" s="11"/>
      <c r="AP64" s="11"/>
      <c r="AQ64" s="11"/>
      <c r="AR64" s="11"/>
      <c r="AS64" s="11">
        <f>N64-R64</f>
        <v>-300</v>
      </c>
      <c r="AT64" s="11"/>
      <c r="AU64" s="11"/>
      <c r="AV64" s="11"/>
      <c r="AW64" s="11"/>
      <c r="AX64" s="8" t="s">
        <v>161</v>
      </c>
      <c r="AY64" s="8" t="s">
        <v>328</v>
      </c>
      <c r="AZ64" s="8" t="s">
        <v>62</v>
      </c>
      <c r="BA64" s="8" t="s">
        <v>131</v>
      </c>
      <c r="BB64" s="8" t="s">
        <v>93</v>
      </c>
      <c r="BC64" s="8" t="s">
        <v>113</v>
      </c>
    </row>
    <row r="65" spans="1:55" x14ac:dyDescent="0.25">
      <c r="A65" s="6">
        <v>8</v>
      </c>
      <c r="B65" s="9">
        <v>45870</v>
      </c>
      <c r="C65" s="8" t="s">
        <v>330</v>
      </c>
      <c r="D65" s="8">
        <v>1960</v>
      </c>
      <c r="E65" s="8"/>
      <c r="F65" s="8" t="s">
        <v>332</v>
      </c>
      <c r="G65" s="8" t="s">
        <v>53</v>
      </c>
      <c r="H65" s="8" t="s">
        <v>91</v>
      </c>
      <c r="I65" s="8" t="s">
        <v>53</v>
      </c>
      <c r="J65" s="8" t="s">
        <v>49</v>
      </c>
      <c r="K65" s="8" t="s">
        <v>132</v>
      </c>
      <c r="L65" s="8" t="s">
        <v>113</v>
      </c>
      <c r="M65" s="8" t="s">
        <v>135</v>
      </c>
      <c r="N65" s="8">
        <v>18100</v>
      </c>
      <c r="O65" s="11"/>
      <c r="P65" s="8" t="s">
        <v>202</v>
      </c>
      <c r="Q65" s="11"/>
      <c r="R65" s="11">
        <v>16800</v>
      </c>
      <c r="S65" s="19" t="s">
        <v>318</v>
      </c>
      <c r="T65" s="8" t="s">
        <v>131</v>
      </c>
      <c r="U65" s="7">
        <v>45859</v>
      </c>
      <c r="V65" s="7" t="s">
        <v>139</v>
      </c>
      <c r="W65" s="7">
        <v>45856</v>
      </c>
      <c r="X65" s="8" t="s">
        <v>50</v>
      </c>
      <c r="Y65" s="8"/>
      <c r="Z65" s="8"/>
      <c r="AA65" s="8"/>
      <c r="AB65" s="8"/>
      <c r="AC65" s="8"/>
      <c r="AD65" s="8"/>
      <c r="AE65" s="7" t="s">
        <v>131</v>
      </c>
      <c r="AF65" s="6"/>
      <c r="AG65" s="6"/>
      <c r="AH65" s="6"/>
      <c r="AI65" s="8"/>
      <c r="AJ65" s="8"/>
      <c r="AK65" s="6"/>
      <c r="AL65" s="8"/>
      <c r="AM65" s="8"/>
      <c r="AN65" s="8" t="s">
        <v>131</v>
      </c>
      <c r="AO65" s="11"/>
      <c r="AP65" s="11"/>
      <c r="AQ65" s="11"/>
      <c r="AR65" s="11"/>
      <c r="AS65" s="11">
        <f>N65-R65</f>
        <v>1300</v>
      </c>
      <c r="AT65" s="11"/>
      <c r="AU65" s="11"/>
      <c r="AV65" s="11"/>
      <c r="AW65" s="11"/>
      <c r="AX65" s="8" t="s">
        <v>161</v>
      </c>
      <c r="AY65" s="8" t="s">
        <v>331</v>
      </c>
      <c r="AZ65" s="8" t="s">
        <v>333</v>
      </c>
      <c r="BA65" s="8" t="s">
        <v>131</v>
      </c>
      <c r="BB65" s="8" t="s">
        <v>92</v>
      </c>
      <c r="BC65" s="8" t="s">
        <v>113</v>
      </c>
    </row>
    <row r="66" spans="1:55" x14ac:dyDescent="0.25">
      <c r="A66" s="6">
        <v>9</v>
      </c>
      <c r="B66" s="9">
        <v>45870</v>
      </c>
      <c r="C66" s="8" t="s">
        <v>334</v>
      </c>
      <c r="D66" s="8">
        <v>1961</v>
      </c>
      <c r="E66" s="8"/>
      <c r="F66" s="8" t="s">
        <v>336</v>
      </c>
      <c r="G66" s="8" t="s">
        <v>53</v>
      </c>
      <c r="H66" s="8" t="s">
        <v>91</v>
      </c>
      <c r="I66" s="8" t="s">
        <v>53</v>
      </c>
      <c r="J66" s="8" t="s">
        <v>49</v>
      </c>
      <c r="K66" s="8" t="s">
        <v>132</v>
      </c>
      <c r="L66" s="8" t="s">
        <v>113</v>
      </c>
      <c r="M66" s="8" t="s">
        <v>135</v>
      </c>
      <c r="N66" s="8">
        <v>18100</v>
      </c>
      <c r="O66" s="11"/>
      <c r="P66" s="8" t="s">
        <v>202</v>
      </c>
      <c r="Q66" s="11"/>
      <c r="R66" s="11">
        <v>16800</v>
      </c>
      <c r="S66" s="19" t="s">
        <v>318</v>
      </c>
      <c r="T66" s="8" t="s">
        <v>131</v>
      </c>
      <c r="U66" s="7">
        <v>45859</v>
      </c>
      <c r="V66" s="7" t="s">
        <v>139</v>
      </c>
      <c r="W66" s="7">
        <v>45856</v>
      </c>
      <c r="X66" s="8" t="s">
        <v>50</v>
      </c>
      <c r="Y66" s="8"/>
      <c r="Z66" s="8"/>
      <c r="AA66" s="8"/>
      <c r="AB66" s="8"/>
      <c r="AC66" s="8"/>
      <c r="AD66" s="8"/>
      <c r="AE66" s="7" t="s">
        <v>131</v>
      </c>
      <c r="AF66" s="6"/>
      <c r="AG66" s="6"/>
      <c r="AH66" s="6"/>
      <c r="AI66" s="8"/>
      <c r="AJ66" s="8"/>
      <c r="AK66" s="6"/>
      <c r="AL66" s="8"/>
      <c r="AM66" s="8"/>
      <c r="AN66" s="8" t="s">
        <v>131</v>
      </c>
      <c r="AO66" s="11"/>
      <c r="AP66" s="11"/>
      <c r="AQ66" s="11"/>
      <c r="AR66" s="11"/>
      <c r="AS66" s="11">
        <f>N66-R66</f>
        <v>1300</v>
      </c>
      <c r="AT66" s="11"/>
      <c r="AU66" s="11"/>
      <c r="AV66" s="11"/>
      <c r="AW66" s="11"/>
      <c r="AX66" s="8" t="s">
        <v>161</v>
      </c>
      <c r="AY66" s="8" t="s">
        <v>335</v>
      </c>
      <c r="AZ66" s="8" t="s">
        <v>333</v>
      </c>
      <c r="BA66" s="8" t="s">
        <v>131</v>
      </c>
      <c r="BB66" s="8" t="s">
        <v>92</v>
      </c>
      <c r="BC66" s="8" t="s">
        <v>113</v>
      </c>
    </row>
    <row r="67" spans="1:55" x14ac:dyDescent="0.25">
      <c r="A67" s="6">
        <v>10</v>
      </c>
      <c r="B67" s="9">
        <v>45870</v>
      </c>
      <c r="C67" s="8" t="s">
        <v>337</v>
      </c>
      <c r="D67" s="8">
        <v>1964</v>
      </c>
      <c r="E67" s="8"/>
      <c r="F67" s="8" t="s">
        <v>338</v>
      </c>
      <c r="G67" s="8" t="s">
        <v>53</v>
      </c>
      <c r="H67" s="8" t="s">
        <v>91</v>
      </c>
      <c r="I67" s="8" t="s">
        <v>53</v>
      </c>
      <c r="J67" s="8" t="s">
        <v>49</v>
      </c>
      <c r="K67" s="8" t="s">
        <v>132</v>
      </c>
      <c r="L67" s="8" t="s">
        <v>114</v>
      </c>
      <c r="M67" s="8" t="s">
        <v>135</v>
      </c>
      <c r="N67" s="8">
        <v>18100</v>
      </c>
      <c r="O67" s="11"/>
      <c r="P67" s="8" t="s">
        <v>202</v>
      </c>
      <c r="Q67" s="11"/>
      <c r="R67" s="11">
        <v>16800</v>
      </c>
      <c r="S67" s="19" t="s">
        <v>318</v>
      </c>
      <c r="T67" s="8" t="s">
        <v>131</v>
      </c>
      <c r="U67" s="7">
        <v>45859</v>
      </c>
      <c r="V67" s="7" t="s">
        <v>139</v>
      </c>
      <c r="W67" s="7">
        <v>45857</v>
      </c>
      <c r="X67" s="8" t="s">
        <v>50</v>
      </c>
      <c r="Y67" s="8"/>
      <c r="Z67" s="8"/>
      <c r="AA67" s="8"/>
      <c r="AB67" s="8"/>
      <c r="AC67" s="8"/>
      <c r="AD67" s="8"/>
      <c r="AE67" s="7" t="s">
        <v>131</v>
      </c>
      <c r="AF67" s="6"/>
      <c r="AG67" s="8"/>
      <c r="AH67" s="8"/>
      <c r="AI67" s="8"/>
      <c r="AJ67" s="8"/>
      <c r="AK67" s="8"/>
      <c r="AL67" s="8"/>
      <c r="AM67" s="8"/>
      <c r="AN67" s="8" t="s">
        <v>131</v>
      </c>
      <c r="AO67" s="11"/>
      <c r="AP67" s="11"/>
      <c r="AQ67" s="11"/>
      <c r="AR67" s="11"/>
      <c r="AS67" s="11">
        <f>N67-R67</f>
        <v>1300</v>
      </c>
      <c r="AT67" s="11"/>
      <c r="AU67" s="11"/>
      <c r="AV67" s="11"/>
      <c r="AW67" s="11"/>
      <c r="AX67" s="8" t="s">
        <v>164</v>
      </c>
      <c r="AY67" s="8">
        <v>48918993</v>
      </c>
      <c r="AZ67" s="8" t="s">
        <v>339</v>
      </c>
      <c r="BA67" s="8" t="s">
        <v>131</v>
      </c>
      <c r="BB67" s="8" t="s">
        <v>92</v>
      </c>
      <c r="BC67" s="8" t="s">
        <v>114</v>
      </c>
    </row>
    <row r="68" spans="1:55" x14ac:dyDescent="0.25">
      <c r="A68" s="6">
        <v>11</v>
      </c>
      <c r="B68" s="9">
        <v>45870</v>
      </c>
      <c r="C68" s="8" t="s">
        <v>340</v>
      </c>
      <c r="D68" s="8">
        <v>1967</v>
      </c>
      <c r="E68" s="8"/>
      <c r="F68" s="8" t="s">
        <v>341</v>
      </c>
      <c r="G68" s="8" t="s">
        <v>53</v>
      </c>
      <c r="H68" s="8" t="s">
        <v>91</v>
      </c>
      <c r="I68" s="8" t="s">
        <v>53</v>
      </c>
      <c r="J68" s="8" t="s">
        <v>49</v>
      </c>
      <c r="K68" s="8" t="s">
        <v>132</v>
      </c>
      <c r="L68" s="8" t="s">
        <v>113</v>
      </c>
      <c r="M68" s="8" t="s">
        <v>135</v>
      </c>
      <c r="N68" s="8">
        <v>18100</v>
      </c>
      <c r="O68" s="11"/>
      <c r="P68" s="8" t="s">
        <v>202</v>
      </c>
      <c r="Q68" s="11"/>
      <c r="R68" s="11">
        <v>16800</v>
      </c>
      <c r="S68" s="19" t="s">
        <v>318</v>
      </c>
      <c r="T68" s="8" t="s">
        <v>131</v>
      </c>
      <c r="U68" s="7">
        <v>45859</v>
      </c>
      <c r="V68" s="7" t="s">
        <v>139</v>
      </c>
      <c r="W68" s="7">
        <v>45856</v>
      </c>
      <c r="X68" s="8" t="s">
        <v>50</v>
      </c>
      <c r="Y68" s="8"/>
      <c r="Z68" s="8"/>
      <c r="AA68" s="8"/>
      <c r="AB68" s="8"/>
      <c r="AC68" s="8"/>
      <c r="AD68" s="8"/>
      <c r="AE68" s="7" t="s">
        <v>131</v>
      </c>
      <c r="AF68" s="6"/>
      <c r="AG68" s="6"/>
      <c r="AH68" s="6"/>
      <c r="AI68" s="8"/>
      <c r="AJ68" s="8"/>
      <c r="AK68" s="6"/>
      <c r="AL68" s="8"/>
      <c r="AM68" s="8"/>
      <c r="AN68" s="8" t="s">
        <v>131</v>
      </c>
      <c r="AO68" s="11"/>
      <c r="AP68" s="11"/>
      <c r="AQ68" s="11"/>
      <c r="AR68" s="11"/>
      <c r="AS68" s="11">
        <f>N68-R68</f>
        <v>1300</v>
      </c>
      <c r="AT68" s="11"/>
      <c r="AU68" s="11"/>
      <c r="AV68" s="11"/>
      <c r="AW68" s="11"/>
      <c r="AX68" s="8" t="s">
        <v>161</v>
      </c>
      <c r="AY68" s="8">
        <v>60812672</v>
      </c>
      <c r="AZ68" s="8" t="s">
        <v>333</v>
      </c>
      <c r="BA68" s="8" t="s">
        <v>131</v>
      </c>
      <c r="BB68" s="8" t="s">
        <v>92</v>
      </c>
      <c r="BC68" s="8" t="s">
        <v>113</v>
      </c>
    </row>
    <row r="69" spans="1:55" x14ac:dyDescent="0.25">
      <c r="A69" s="6">
        <v>12</v>
      </c>
      <c r="B69" s="9">
        <v>45870</v>
      </c>
      <c r="C69" s="8" t="s">
        <v>342</v>
      </c>
      <c r="D69" s="8">
        <v>1975</v>
      </c>
      <c r="E69" s="8"/>
      <c r="F69" s="8" t="s">
        <v>344</v>
      </c>
      <c r="G69" s="8" t="s">
        <v>53</v>
      </c>
      <c r="H69" s="8" t="s">
        <v>91</v>
      </c>
      <c r="I69" s="8" t="s">
        <v>53</v>
      </c>
      <c r="J69" s="8" t="s">
        <v>49</v>
      </c>
      <c r="K69" s="8" t="s">
        <v>132</v>
      </c>
      <c r="L69" s="8" t="s">
        <v>113</v>
      </c>
      <c r="M69" s="8" t="s">
        <v>135</v>
      </c>
      <c r="N69" s="8">
        <v>18100</v>
      </c>
      <c r="O69" s="11"/>
      <c r="P69" s="8" t="s">
        <v>202</v>
      </c>
      <c r="Q69" s="11"/>
      <c r="R69" s="11">
        <v>16800</v>
      </c>
      <c r="S69" s="19" t="s">
        <v>318</v>
      </c>
      <c r="T69" s="8" t="s">
        <v>131</v>
      </c>
      <c r="U69" s="7">
        <v>45862</v>
      </c>
      <c r="V69" s="7" t="s">
        <v>139</v>
      </c>
      <c r="W69" s="7">
        <v>45860</v>
      </c>
      <c r="X69" s="8" t="s">
        <v>50</v>
      </c>
      <c r="Y69" s="8"/>
      <c r="Z69" s="8"/>
      <c r="AA69" s="8"/>
      <c r="AB69" s="8"/>
      <c r="AC69" s="8"/>
      <c r="AD69" s="8"/>
      <c r="AE69" s="7" t="s">
        <v>131</v>
      </c>
      <c r="AF69" s="6"/>
      <c r="AG69" s="6"/>
      <c r="AH69" s="6"/>
      <c r="AI69" s="8"/>
      <c r="AJ69" s="8"/>
      <c r="AK69" s="6"/>
      <c r="AL69" s="8"/>
      <c r="AM69" s="8"/>
      <c r="AN69" s="8" t="s">
        <v>131</v>
      </c>
      <c r="AO69" s="11"/>
      <c r="AP69" s="11"/>
      <c r="AQ69" s="11"/>
      <c r="AR69" s="11"/>
      <c r="AS69" s="11">
        <f>N69-R69</f>
        <v>1300</v>
      </c>
      <c r="AT69" s="11"/>
      <c r="AU69" s="11"/>
      <c r="AV69" s="11"/>
      <c r="AW69" s="11"/>
      <c r="AX69" s="8" t="s">
        <v>161</v>
      </c>
      <c r="AY69" s="8" t="s">
        <v>343</v>
      </c>
      <c r="AZ69" s="8" t="s">
        <v>333</v>
      </c>
      <c r="BA69" s="8" t="s">
        <v>131</v>
      </c>
      <c r="BB69" s="8" t="s">
        <v>92</v>
      </c>
      <c r="BC69" s="8" t="s">
        <v>113</v>
      </c>
    </row>
    <row r="70" spans="1:55" x14ac:dyDescent="0.25">
      <c r="A70" s="6">
        <v>13</v>
      </c>
      <c r="B70" s="9">
        <v>45870</v>
      </c>
      <c r="C70" s="8" t="s">
        <v>345</v>
      </c>
      <c r="D70" s="8">
        <v>1976</v>
      </c>
      <c r="E70" s="8"/>
      <c r="F70" s="8" t="s">
        <v>346</v>
      </c>
      <c r="G70" s="8" t="s">
        <v>53</v>
      </c>
      <c r="H70" s="8" t="s">
        <v>91</v>
      </c>
      <c r="I70" s="8" t="s">
        <v>53</v>
      </c>
      <c r="J70" s="8" t="s">
        <v>49</v>
      </c>
      <c r="K70" s="8" t="s">
        <v>132</v>
      </c>
      <c r="L70" s="8" t="s">
        <v>113</v>
      </c>
      <c r="M70" s="8" t="s">
        <v>135</v>
      </c>
      <c r="N70" s="8">
        <v>18100</v>
      </c>
      <c r="O70" s="11"/>
      <c r="P70" s="8" t="s">
        <v>202</v>
      </c>
      <c r="Q70" s="11"/>
      <c r="R70" s="11">
        <v>16800</v>
      </c>
      <c r="S70" s="19" t="s">
        <v>318</v>
      </c>
      <c r="T70" s="8" t="s">
        <v>131</v>
      </c>
      <c r="U70" s="7">
        <v>45861</v>
      </c>
      <c r="V70" s="7" t="s">
        <v>139</v>
      </c>
      <c r="W70" s="7">
        <v>45860</v>
      </c>
      <c r="X70" s="8" t="s">
        <v>50</v>
      </c>
      <c r="Y70" s="8"/>
      <c r="Z70" s="8"/>
      <c r="AA70" s="8"/>
      <c r="AB70" s="8"/>
      <c r="AC70" s="8"/>
      <c r="AD70" s="8"/>
      <c r="AE70" s="7" t="s">
        <v>131</v>
      </c>
      <c r="AF70" s="6"/>
      <c r="AG70" s="6"/>
      <c r="AH70" s="6"/>
      <c r="AI70" s="8"/>
      <c r="AJ70" s="8"/>
      <c r="AK70" s="6"/>
      <c r="AL70" s="8"/>
      <c r="AM70" s="8"/>
      <c r="AN70" s="8" t="s">
        <v>131</v>
      </c>
      <c r="AO70" s="11"/>
      <c r="AP70" s="11"/>
      <c r="AQ70" s="11"/>
      <c r="AR70" s="11"/>
      <c r="AS70" s="11">
        <f>N70-R70</f>
        <v>1300</v>
      </c>
      <c r="AT70" s="11"/>
      <c r="AU70" s="11"/>
      <c r="AV70" s="11"/>
      <c r="AW70" s="11"/>
      <c r="AX70" s="8" t="s">
        <v>161</v>
      </c>
      <c r="AY70" s="8">
        <v>61964753</v>
      </c>
      <c r="AZ70" s="8" t="s">
        <v>347</v>
      </c>
      <c r="BA70" s="8" t="s">
        <v>131</v>
      </c>
      <c r="BB70" s="8" t="s">
        <v>92</v>
      </c>
      <c r="BC70" s="8" t="s">
        <v>113</v>
      </c>
    </row>
    <row r="71" spans="1:55" x14ac:dyDescent="0.25">
      <c r="A71" s="6">
        <v>14</v>
      </c>
      <c r="B71" s="9">
        <v>45870</v>
      </c>
      <c r="C71" s="8" t="s">
        <v>348</v>
      </c>
      <c r="D71" s="8">
        <v>1977</v>
      </c>
      <c r="E71" s="8"/>
      <c r="F71" s="8" t="s">
        <v>349</v>
      </c>
      <c r="G71" s="8" t="s">
        <v>53</v>
      </c>
      <c r="H71" s="8" t="s">
        <v>91</v>
      </c>
      <c r="I71" s="8" t="s">
        <v>53</v>
      </c>
      <c r="J71" s="8" t="s">
        <v>49</v>
      </c>
      <c r="K71" s="8" t="s">
        <v>134</v>
      </c>
      <c r="L71" s="8" t="s">
        <v>113</v>
      </c>
      <c r="M71" s="8" t="s">
        <v>135</v>
      </c>
      <c r="N71" s="8">
        <v>13700</v>
      </c>
      <c r="O71" s="11"/>
      <c r="P71" s="8" t="s">
        <v>202</v>
      </c>
      <c r="Q71" s="11"/>
      <c r="R71" s="11">
        <v>11000</v>
      </c>
      <c r="S71" s="19" t="s">
        <v>171</v>
      </c>
      <c r="T71" s="8" t="s">
        <v>351</v>
      </c>
      <c r="U71" s="7">
        <v>45866</v>
      </c>
      <c r="V71" s="7" t="s">
        <v>139</v>
      </c>
      <c r="W71" s="7">
        <v>45860</v>
      </c>
      <c r="X71" s="8" t="s">
        <v>50</v>
      </c>
      <c r="Y71" s="8"/>
      <c r="Z71" s="8"/>
      <c r="AA71" s="8"/>
      <c r="AB71" s="8"/>
      <c r="AC71" s="8"/>
      <c r="AD71" s="8"/>
      <c r="AE71" s="7" t="s">
        <v>131</v>
      </c>
      <c r="AF71" s="6">
        <v>4000</v>
      </c>
      <c r="AG71" s="8">
        <v>2300</v>
      </c>
      <c r="AH71" s="6">
        <v>2000</v>
      </c>
      <c r="AI71" s="8">
        <v>700</v>
      </c>
      <c r="AJ71" s="8">
        <v>1500</v>
      </c>
      <c r="AK71" s="8">
        <v>2000</v>
      </c>
      <c r="AL71" s="8" t="s">
        <v>131</v>
      </c>
      <c r="AM71" s="8">
        <v>1200</v>
      </c>
      <c r="AN71" s="8" t="s">
        <v>131</v>
      </c>
      <c r="AO71" s="11"/>
      <c r="AP71" s="11"/>
      <c r="AQ71" s="11"/>
      <c r="AR71" s="11"/>
      <c r="AS71" s="11">
        <f>N71-R71</f>
        <v>2700</v>
      </c>
      <c r="AT71" s="11"/>
      <c r="AU71" s="11"/>
      <c r="AV71" s="11"/>
      <c r="AW71" s="11"/>
      <c r="AX71" s="8" t="s">
        <v>161</v>
      </c>
      <c r="AY71" s="8">
        <v>48724137</v>
      </c>
      <c r="AZ71" s="8" t="s">
        <v>350</v>
      </c>
      <c r="BA71" s="8" t="s">
        <v>131</v>
      </c>
      <c r="BB71" s="8" t="s">
        <v>92</v>
      </c>
      <c r="BC71" s="8" t="s">
        <v>113</v>
      </c>
    </row>
    <row r="72" spans="1:55" x14ac:dyDescent="0.25">
      <c r="A72" s="6">
        <v>15</v>
      </c>
      <c r="B72" s="9">
        <v>45870</v>
      </c>
      <c r="C72" s="8" t="s">
        <v>352</v>
      </c>
      <c r="D72" s="8">
        <v>1979</v>
      </c>
      <c r="E72" s="8"/>
      <c r="F72" s="8" t="s">
        <v>353</v>
      </c>
      <c r="G72" s="8" t="s">
        <v>56</v>
      </c>
      <c r="H72" s="8" t="s">
        <v>78</v>
      </c>
      <c r="I72" s="8" t="s">
        <v>56</v>
      </c>
      <c r="J72" s="8" t="s">
        <v>49</v>
      </c>
      <c r="K72" s="8" t="s">
        <v>132</v>
      </c>
      <c r="L72" s="8" t="s">
        <v>113</v>
      </c>
      <c r="M72" s="8" t="s">
        <v>135</v>
      </c>
      <c r="N72" s="8">
        <v>18100</v>
      </c>
      <c r="O72" s="11"/>
      <c r="P72" s="8" t="s">
        <v>202</v>
      </c>
      <c r="Q72" s="11"/>
      <c r="R72" s="11">
        <v>15500</v>
      </c>
      <c r="S72" s="19" t="s">
        <v>171</v>
      </c>
      <c r="T72" s="8" t="s">
        <v>131</v>
      </c>
      <c r="U72" s="7">
        <v>45863</v>
      </c>
      <c r="V72" s="7" t="s">
        <v>138</v>
      </c>
      <c r="W72" s="7">
        <v>45861</v>
      </c>
      <c r="X72" s="8" t="s">
        <v>50</v>
      </c>
      <c r="Y72" s="8"/>
      <c r="Z72" s="8"/>
      <c r="AA72" s="8"/>
      <c r="AB72" s="8"/>
      <c r="AC72" s="8"/>
      <c r="AD72" s="8"/>
      <c r="AE72" s="7">
        <v>45866</v>
      </c>
      <c r="AF72" s="6">
        <v>5400</v>
      </c>
      <c r="AG72" s="6">
        <v>6500</v>
      </c>
      <c r="AH72" s="6">
        <v>2000</v>
      </c>
      <c r="AI72" s="8">
        <v>700</v>
      </c>
      <c r="AJ72" s="8">
        <v>1500</v>
      </c>
      <c r="AK72" s="6">
        <v>2000</v>
      </c>
      <c r="AL72" s="8" t="s">
        <v>131</v>
      </c>
      <c r="AM72" s="8" t="s">
        <v>131</v>
      </c>
      <c r="AN72" s="8" t="s">
        <v>131</v>
      </c>
      <c r="AO72" s="11"/>
      <c r="AP72" s="11"/>
      <c r="AQ72" s="11"/>
      <c r="AR72" s="11"/>
      <c r="AS72" s="11">
        <f>N72-R72</f>
        <v>2600</v>
      </c>
      <c r="AT72" s="11"/>
      <c r="AU72" s="11"/>
      <c r="AV72" s="11"/>
      <c r="AW72" s="11"/>
      <c r="AX72" s="8" t="s">
        <v>161</v>
      </c>
      <c r="AY72" s="8">
        <v>48722622</v>
      </c>
      <c r="AZ72" s="8" t="s">
        <v>354</v>
      </c>
      <c r="BA72" s="8" t="s">
        <v>131</v>
      </c>
      <c r="BB72" s="8" t="s">
        <v>93</v>
      </c>
      <c r="BC72" s="8" t="s">
        <v>113</v>
      </c>
    </row>
    <row r="73" spans="1:55" x14ac:dyDescent="0.25">
      <c r="A73" s="6">
        <v>16</v>
      </c>
      <c r="B73" s="9">
        <v>45870</v>
      </c>
      <c r="C73" s="8" t="s">
        <v>355</v>
      </c>
      <c r="D73" s="8">
        <v>1985</v>
      </c>
      <c r="E73" s="8"/>
      <c r="F73" s="8" t="s">
        <v>357</v>
      </c>
      <c r="G73" s="8" t="s">
        <v>56</v>
      </c>
      <c r="H73" s="8" t="s">
        <v>78</v>
      </c>
      <c r="I73" s="8" t="s">
        <v>56</v>
      </c>
      <c r="J73" s="8" t="s">
        <v>49</v>
      </c>
      <c r="K73" s="8" t="s">
        <v>132</v>
      </c>
      <c r="L73" s="8" t="s">
        <v>113</v>
      </c>
      <c r="M73" s="8" t="s">
        <v>135</v>
      </c>
      <c r="N73" s="8">
        <v>18100</v>
      </c>
      <c r="O73" s="11"/>
      <c r="P73" s="8" t="s">
        <v>202</v>
      </c>
      <c r="Q73" s="11"/>
      <c r="R73" s="11">
        <v>15500</v>
      </c>
      <c r="S73" s="19" t="s">
        <v>171</v>
      </c>
      <c r="T73" s="8" t="s">
        <v>131</v>
      </c>
      <c r="U73" s="7">
        <v>45867</v>
      </c>
      <c r="V73" s="7" t="s">
        <v>138</v>
      </c>
      <c r="W73" s="7">
        <v>45863</v>
      </c>
      <c r="X73" s="8" t="s">
        <v>50</v>
      </c>
      <c r="Y73" s="8"/>
      <c r="Z73" s="8"/>
      <c r="AA73" s="8"/>
      <c r="AB73" s="8"/>
      <c r="AC73" s="8"/>
      <c r="AD73" s="8"/>
      <c r="AE73" s="7">
        <v>45883</v>
      </c>
      <c r="AF73" s="6">
        <v>5400</v>
      </c>
      <c r="AG73" s="6">
        <v>6500</v>
      </c>
      <c r="AH73" s="6">
        <v>2000</v>
      </c>
      <c r="AI73" s="8">
        <v>700</v>
      </c>
      <c r="AJ73" s="8">
        <v>1500</v>
      </c>
      <c r="AK73" s="6">
        <v>2000</v>
      </c>
      <c r="AL73" s="8" t="s">
        <v>131</v>
      </c>
      <c r="AM73" s="8" t="s">
        <v>131</v>
      </c>
      <c r="AN73" s="8" t="s">
        <v>131</v>
      </c>
      <c r="AO73" s="11"/>
      <c r="AP73" s="11"/>
      <c r="AQ73" s="11"/>
      <c r="AR73" s="11"/>
      <c r="AS73" s="11">
        <f>N73-R73</f>
        <v>2600</v>
      </c>
      <c r="AT73" s="11"/>
      <c r="AU73" s="11"/>
      <c r="AV73" s="11"/>
      <c r="AW73" s="11"/>
      <c r="AX73" s="8" t="s">
        <v>161</v>
      </c>
      <c r="AY73" s="8" t="s">
        <v>356</v>
      </c>
      <c r="AZ73" s="8" t="s">
        <v>358</v>
      </c>
      <c r="BA73" s="8" t="s">
        <v>131</v>
      </c>
      <c r="BB73" s="8" t="s">
        <v>93</v>
      </c>
      <c r="BC73" s="8" t="s">
        <v>113</v>
      </c>
    </row>
    <row r="74" spans="1:55" x14ac:dyDescent="0.25">
      <c r="A74" s="6">
        <v>17</v>
      </c>
      <c r="B74" s="9">
        <v>45870</v>
      </c>
      <c r="C74" s="8" t="s">
        <v>307</v>
      </c>
      <c r="D74" s="8">
        <v>2004</v>
      </c>
      <c r="E74" s="8"/>
      <c r="F74" s="8" t="s">
        <v>309</v>
      </c>
      <c r="G74" s="8" t="s">
        <v>53</v>
      </c>
      <c r="H74" s="8" t="s">
        <v>359</v>
      </c>
      <c r="I74" s="8" t="s">
        <v>53</v>
      </c>
      <c r="J74" s="8" t="s">
        <v>49</v>
      </c>
      <c r="K74" s="8" t="s">
        <v>134</v>
      </c>
      <c r="L74" s="8" t="s">
        <v>114</v>
      </c>
      <c r="M74" s="8" t="s">
        <v>137</v>
      </c>
      <c r="N74" s="8">
        <v>7800</v>
      </c>
      <c r="O74" s="11"/>
      <c r="P74" s="8" t="s">
        <v>202</v>
      </c>
      <c r="Q74" s="11"/>
      <c r="R74" s="20">
        <v>10000</v>
      </c>
      <c r="S74" s="19" t="s">
        <v>171</v>
      </c>
      <c r="T74" s="8" t="s">
        <v>131</v>
      </c>
      <c r="U74" s="7">
        <v>45866</v>
      </c>
      <c r="V74" s="7" t="s">
        <v>138</v>
      </c>
      <c r="W74" s="7">
        <v>45866</v>
      </c>
      <c r="X74" s="8" t="s">
        <v>50</v>
      </c>
      <c r="Y74" s="8"/>
      <c r="Z74" s="8"/>
      <c r="AA74" s="8"/>
      <c r="AB74" s="8"/>
      <c r="AC74" s="8"/>
      <c r="AD74" s="8"/>
      <c r="AE74" s="7">
        <v>45868</v>
      </c>
      <c r="AF74" s="8">
        <v>4000</v>
      </c>
      <c r="AG74" s="8">
        <v>2300</v>
      </c>
      <c r="AH74" s="8" t="s">
        <v>131</v>
      </c>
      <c r="AI74" s="8" t="s">
        <v>131</v>
      </c>
      <c r="AJ74" s="8">
        <v>1500</v>
      </c>
      <c r="AK74" s="8" t="s">
        <v>131</v>
      </c>
      <c r="AL74" s="8" t="s">
        <v>131</v>
      </c>
      <c r="AM74" s="8" t="s">
        <v>131</v>
      </c>
      <c r="AN74" s="8" t="s">
        <v>131</v>
      </c>
      <c r="AO74" s="11"/>
      <c r="AP74" s="11"/>
      <c r="AQ74" s="11"/>
      <c r="AR74" s="11"/>
      <c r="AS74" s="11">
        <f>N74-R74</f>
        <v>-2200</v>
      </c>
      <c r="AT74" s="11"/>
      <c r="AU74" s="11"/>
      <c r="AV74" s="11"/>
      <c r="AW74" s="11"/>
      <c r="AX74" s="8" t="s">
        <v>164</v>
      </c>
      <c r="AY74" s="8" t="s">
        <v>308</v>
      </c>
      <c r="AZ74" s="8" t="s">
        <v>94</v>
      </c>
      <c r="BA74" s="8" t="s">
        <v>131</v>
      </c>
      <c r="BB74" s="8" t="s">
        <v>92</v>
      </c>
      <c r="BC74" s="8" t="s">
        <v>114</v>
      </c>
    </row>
    <row r="75" spans="1:55" x14ac:dyDescent="0.25">
      <c r="A75" s="6">
        <v>18</v>
      </c>
      <c r="B75" s="9">
        <v>45870</v>
      </c>
      <c r="C75" s="21" t="s">
        <v>360</v>
      </c>
      <c r="D75" s="8">
        <v>2010</v>
      </c>
      <c r="E75" s="8"/>
      <c r="F75" s="8" t="s">
        <v>362</v>
      </c>
      <c r="G75" s="8" t="s">
        <v>364</v>
      </c>
      <c r="H75" s="8" t="s">
        <v>78</v>
      </c>
      <c r="I75" s="8" t="s">
        <v>56</v>
      </c>
      <c r="J75" s="8" t="s">
        <v>49</v>
      </c>
      <c r="K75" s="8" t="s">
        <v>133</v>
      </c>
      <c r="L75" s="8" t="s">
        <v>113</v>
      </c>
      <c r="M75" s="8" t="s">
        <v>135</v>
      </c>
      <c r="N75" s="8">
        <v>20400</v>
      </c>
      <c r="O75" s="11"/>
      <c r="P75" s="8" t="s">
        <v>202</v>
      </c>
      <c r="Q75" s="11"/>
      <c r="R75" s="11">
        <v>14000</v>
      </c>
      <c r="S75" s="19" t="s">
        <v>171</v>
      </c>
      <c r="T75" s="8" t="s">
        <v>131</v>
      </c>
      <c r="U75" s="7">
        <v>45870</v>
      </c>
      <c r="V75" s="7" t="s">
        <v>139</v>
      </c>
      <c r="W75" s="7">
        <v>45868</v>
      </c>
      <c r="X75" s="8" t="s">
        <v>50</v>
      </c>
      <c r="Y75" s="8"/>
      <c r="Z75" s="8"/>
      <c r="AA75" s="8"/>
      <c r="AB75" s="8"/>
      <c r="AC75" s="8"/>
      <c r="AD75" s="8"/>
      <c r="AE75" s="7" t="s">
        <v>131</v>
      </c>
      <c r="AF75" s="6">
        <v>7700</v>
      </c>
      <c r="AG75" s="6">
        <v>6500</v>
      </c>
      <c r="AH75" s="6">
        <v>2000</v>
      </c>
      <c r="AI75" s="6">
        <v>700</v>
      </c>
      <c r="AJ75" s="6">
        <v>1500</v>
      </c>
      <c r="AK75" s="6">
        <v>2000</v>
      </c>
      <c r="AL75" s="8" t="s">
        <v>131</v>
      </c>
      <c r="AM75" s="8" t="s">
        <v>131</v>
      </c>
      <c r="AN75" s="8" t="s">
        <v>131</v>
      </c>
      <c r="AO75" s="11"/>
      <c r="AP75" s="11"/>
      <c r="AQ75" s="11"/>
      <c r="AR75" s="11"/>
      <c r="AS75" s="11">
        <f>N75-R75</f>
        <v>6400</v>
      </c>
      <c r="AT75" s="11"/>
      <c r="AU75" s="11"/>
      <c r="AV75" s="11"/>
      <c r="AW75" s="11"/>
      <c r="AX75" s="8" t="s">
        <v>161</v>
      </c>
      <c r="AY75" s="8" t="s">
        <v>361</v>
      </c>
      <c r="AZ75" s="8" t="s">
        <v>363</v>
      </c>
      <c r="BA75" s="8" t="s">
        <v>131</v>
      </c>
      <c r="BB75" s="8" t="s">
        <v>93</v>
      </c>
      <c r="BC75" s="8" t="s">
        <v>113</v>
      </c>
    </row>
    <row r="76" spans="1:55" x14ac:dyDescent="0.25">
      <c r="A76" s="6">
        <v>19</v>
      </c>
      <c r="B76" s="9">
        <v>45870</v>
      </c>
      <c r="C76" s="8" t="s">
        <v>365</v>
      </c>
      <c r="D76" s="8">
        <v>2018</v>
      </c>
      <c r="E76" s="8"/>
      <c r="F76" s="8" t="s">
        <v>367</v>
      </c>
      <c r="G76" s="8" t="s">
        <v>369</v>
      </c>
      <c r="H76" s="8" t="s">
        <v>91</v>
      </c>
      <c r="I76" s="8" t="s">
        <v>53</v>
      </c>
      <c r="J76" s="8" t="s">
        <v>49</v>
      </c>
      <c r="K76" s="8" t="s">
        <v>133</v>
      </c>
      <c r="L76" s="8" t="s">
        <v>113</v>
      </c>
      <c r="M76" s="8" t="s">
        <v>135</v>
      </c>
      <c r="N76" s="8">
        <v>20400</v>
      </c>
      <c r="O76" s="11"/>
      <c r="P76" s="8" t="s">
        <v>202</v>
      </c>
      <c r="Q76" s="11"/>
      <c r="R76" s="11">
        <v>17800</v>
      </c>
      <c r="S76" s="19" t="s">
        <v>318</v>
      </c>
      <c r="T76" s="8" t="s">
        <v>131</v>
      </c>
      <c r="U76" s="7">
        <v>45879</v>
      </c>
      <c r="V76" s="7" t="s">
        <v>139</v>
      </c>
      <c r="W76" s="7">
        <v>45869</v>
      </c>
      <c r="X76" s="8" t="s">
        <v>50</v>
      </c>
      <c r="Y76" s="8"/>
      <c r="Z76" s="8"/>
      <c r="AA76" s="8"/>
      <c r="AB76" s="8"/>
      <c r="AC76" s="8"/>
      <c r="AD76" s="8"/>
      <c r="AE76" s="7" t="s">
        <v>131</v>
      </c>
      <c r="AF76" s="6"/>
      <c r="AG76" s="6"/>
      <c r="AH76" s="6"/>
      <c r="AI76" s="6"/>
      <c r="AJ76" s="6"/>
      <c r="AK76" s="6"/>
      <c r="AL76" s="8"/>
      <c r="AM76" s="8"/>
      <c r="AN76" s="8" t="s">
        <v>131</v>
      </c>
      <c r="AO76" s="11"/>
      <c r="AP76" s="11"/>
      <c r="AQ76" s="11"/>
      <c r="AR76" s="11"/>
      <c r="AS76" s="11">
        <f>N76-R76</f>
        <v>2600</v>
      </c>
      <c r="AT76" s="11"/>
      <c r="AU76" s="11"/>
      <c r="AV76" s="11"/>
      <c r="AW76" s="11"/>
      <c r="AX76" s="8" t="s">
        <v>161</v>
      </c>
      <c r="AY76" s="8" t="s">
        <v>366</v>
      </c>
      <c r="AZ76" s="8" t="s">
        <v>368</v>
      </c>
      <c r="BA76" s="8" t="s">
        <v>131</v>
      </c>
      <c r="BB76" s="8" t="s">
        <v>92</v>
      </c>
      <c r="BC76" s="8" t="s">
        <v>113</v>
      </c>
    </row>
    <row r="77" spans="1:55" x14ac:dyDescent="0.25">
      <c r="A77" s="6">
        <v>20</v>
      </c>
      <c r="B77" s="9">
        <v>45870</v>
      </c>
      <c r="C77" s="8" t="s">
        <v>370</v>
      </c>
      <c r="D77" s="8">
        <v>2019</v>
      </c>
      <c r="E77" s="8"/>
      <c r="F77" s="8" t="s">
        <v>372</v>
      </c>
      <c r="G77" s="8" t="s">
        <v>369</v>
      </c>
      <c r="H77" s="8" t="s">
        <v>91</v>
      </c>
      <c r="I77" s="8" t="s">
        <v>53</v>
      </c>
      <c r="J77" s="8" t="s">
        <v>49</v>
      </c>
      <c r="K77" s="8" t="s">
        <v>133</v>
      </c>
      <c r="L77" s="8" t="s">
        <v>113</v>
      </c>
      <c r="M77" s="8" t="s">
        <v>135</v>
      </c>
      <c r="N77" s="8">
        <v>20400</v>
      </c>
      <c r="O77" s="11"/>
      <c r="P77" s="8" t="s">
        <v>202</v>
      </c>
      <c r="Q77" s="11"/>
      <c r="R77" s="11">
        <v>17800</v>
      </c>
      <c r="S77" s="19" t="s">
        <v>318</v>
      </c>
      <c r="T77" s="8" t="s">
        <v>131</v>
      </c>
      <c r="U77" s="7">
        <v>45879</v>
      </c>
      <c r="V77" s="7" t="s">
        <v>139</v>
      </c>
      <c r="W77" s="7">
        <v>45869</v>
      </c>
      <c r="X77" s="8" t="s">
        <v>50</v>
      </c>
      <c r="Y77" s="8"/>
      <c r="Z77" s="8"/>
      <c r="AA77" s="8"/>
      <c r="AB77" s="8"/>
      <c r="AC77" s="8"/>
      <c r="AD77" s="8"/>
      <c r="AE77" s="7" t="s">
        <v>131</v>
      </c>
      <c r="AF77" s="6"/>
      <c r="AG77" s="6"/>
      <c r="AH77" s="6"/>
      <c r="AI77" s="6"/>
      <c r="AJ77" s="6"/>
      <c r="AK77" s="6"/>
      <c r="AL77" s="8"/>
      <c r="AM77" s="8"/>
      <c r="AN77" s="8" t="s">
        <v>131</v>
      </c>
      <c r="AO77" s="11"/>
      <c r="AP77" s="11"/>
      <c r="AQ77" s="11"/>
      <c r="AR77" s="11"/>
      <c r="AS77" s="11">
        <f>N77-R77</f>
        <v>2600</v>
      </c>
      <c r="AT77" s="11"/>
      <c r="AU77" s="11"/>
      <c r="AV77" s="11"/>
      <c r="AW77" s="11"/>
      <c r="AX77" s="8" t="s">
        <v>161</v>
      </c>
      <c r="AY77" s="8" t="s">
        <v>371</v>
      </c>
      <c r="AZ77" s="8" t="s">
        <v>373</v>
      </c>
      <c r="BA77" s="8" t="s">
        <v>131</v>
      </c>
      <c r="BB77" s="8" t="s">
        <v>92</v>
      </c>
      <c r="BC77" s="8" t="s">
        <v>113</v>
      </c>
    </row>
    <row r="78" spans="1:55" x14ac:dyDescent="0.25">
      <c r="A78" s="6">
        <v>21</v>
      </c>
      <c r="B78" s="9">
        <v>45870</v>
      </c>
      <c r="C78" s="8" t="s">
        <v>374</v>
      </c>
      <c r="D78" s="8">
        <v>2020</v>
      </c>
      <c r="E78" s="8"/>
      <c r="F78" s="8" t="s">
        <v>376</v>
      </c>
      <c r="G78" s="8" t="s">
        <v>369</v>
      </c>
      <c r="H78" s="8" t="s">
        <v>91</v>
      </c>
      <c r="I78" s="8" t="s">
        <v>53</v>
      </c>
      <c r="J78" s="8" t="s">
        <v>49</v>
      </c>
      <c r="K78" s="8" t="s">
        <v>133</v>
      </c>
      <c r="L78" s="8" t="s">
        <v>113</v>
      </c>
      <c r="M78" s="8" t="s">
        <v>135</v>
      </c>
      <c r="N78" s="8">
        <v>20400</v>
      </c>
      <c r="O78" s="11"/>
      <c r="P78" s="8" t="s">
        <v>202</v>
      </c>
      <c r="Q78" s="11"/>
      <c r="R78" s="11">
        <v>17800</v>
      </c>
      <c r="S78" s="19" t="s">
        <v>318</v>
      </c>
      <c r="T78" s="8" t="s">
        <v>131</v>
      </c>
      <c r="U78" s="7">
        <v>45877</v>
      </c>
      <c r="V78" s="7" t="s">
        <v>139</v>
      </c>
      <c r="W78" s="7">
        <v>45869</v>
      </c>
      <c r="X78" s="8" t="s">
        <v>50</v>
      </c>
      <c r="Y78" s="8"/>
      <c r="Z78" s="8"/>
      <c r="AA78" s="8"/>
      <c r="AB78" s="8"/>
      <c r="AC78" s="8"/>
      <c r="AD78" s="8"/>
      <c r="AE78" s="7" t="s">
        <v>131</v>
      </c>
      <c r="AF78" s="6"/>
      <c r="AG78" s="6"/>
      <c r="AH78" s="6"/>
      <c r="AI78" s="6"/>
      <c r="AJ78" s="6"/>
      <c r="AK78" s="6"/>
      <c r="AL78" s="8"/>
      <c r="AM78" s="8"/>
      <c r="AN78" s="8" t="s">
        <v>131</v>
      </c>
      <c r="AO78" s="11"/>
      <c r="AP78" s="11"/>
      <c r="AQ78" s="11"/>
      <c r="AR78" s="11"/>
      <c r="AS78" s="11">
        <f>N78-R78</f>
        <v>2600</v>
      </c>
      <c r="AT78" s="11"/>
      <c r="AU78" s="11"/>
      <c r="AV78" s="11"/>
      <c r="AW78" s="11"/>
      <c r="AX78" s="8" t="s">
        <v>161</v>
      </c>
      <c r="AY78" s="8" t="s">
        <v>375</v>
      </c>
      <c r="AZ78" s="8" t="s">
        <v>377</v>
      </c>
      <c r="BA78" s="8" t="s">
        <v>131</v>
      </c>
      <c r="BB78" s="8" t="s">
        <v>92</v>
      </c>
      <c r="BC78" s="8" t="s">
        <v>113</v>
      </c>
    </row>
    <row r="79" spans="1:55" x14ac:dyDescent="0.25">
      <c r="A79" s="6">
        <v>22</v>
      </c>
      <c r="B79" s="9">
        <v>45870</v>
      </c>
      <c r="C79" s="8" t="s">
        <v>378</v>
      </c>
      <c r="D79" s="8">
        <v>2021</v>
      </c>
      <c r="E79" s="8"/>
      <c r="F79" s="8" t="s">
        <v>380</v>
      </c>
      <c r="G79" s="8" t="s">
        <v>369</v>
      </c>
      <c r="H79" s="8" t="s">
        <v>91</v>
      </c>
      <c r="I79" s="8" t="s">
        <v>53</v>
      </c>
      <c r="J79" s="8" t="s">
        <v>49</v>
      </c>
      <c r="K79" s="8" t="s">
        <v>133</v>
      </c>
      <c r="L79" s="8" t="s">
        <v>113</v>
      </c>
      <c r="M79" s="8" t="s">
        <v>135</v>
      </c>
      <c r="N79" s="8">
        <v>20400</v>
      </c>
      <c r="O79" s="11"/>
      <c r="P79" s="8" t="s">
        <v>202</v>
      </c>
      <c r="Q79" s="11"/>
      <c r="R79" s="11">
        <v>17800</v>
      </c>
      <c r="S79" s="19" t="s">
        <v>318</v>
      </c>
      <c r="T79" s="8" t="s">
        <v>131</v>
      </c>
      <c r="U79" s="7">
        <v>45880</v>
      </c>
      <c r="V79" s="7" t="s">
        <v>139</v>
      </c>
      <c r="W79" s="7">
        <v>45869</v>
      </c>
      <c r="X79" s="8" t="s">
        <v>50</v>
      </c>
      <c r="Y79" s="8"/>
      <c r="Z79" s="8"/>
      <c r="AA79" s="8"/>
      <c r="AB79" s="8"/>
      <c r="AC79" s="8"/>
      <c r="AD79" s="8"/>
      <c r="AE79" s="7" t="s">
        <v>131</v>
      </c>
      <c r="AF79" s="6"/>
      <c r="AG79" s="6"/>
      <c r="AH79" s="6"/>
      <c r="AI79" s="6"/>
      <c r="AJ79" s="6"/>
      <c r="AK79" s="6"/>
      <c r="AL79" s="8"/>
      <c r="AM79" s="8"/>
      <c r="AN79" s="8" t="s">
        <v>131</v>
      </c>
      <c r="AO79" s="11"/>
      <c r="AP79" s="11"/>
      <c r="AQ79" s="11"/>
      <c r="AR79" s="11"/>
      <c r="AS79" s="11">
        <f>N79-R79</f>
        <v>2600</v>
      </c>
      <c r="AT79" s="11"/>
      <c r="AU79" s="11"/>
      <c r="AV79" s="11"/>
      <c r="AW79" s="11"/>
      <c r="AX79" s="8" t="s">
        <v>161</v>
      </c>
      <c r="AY79" s="8" t="s">
        <v>379</v>
      </c>
      <c r="AZ79" s="8" t="s">
        <v>381</v>
      </c>
      <c r="BA79" s="8" t="s">
        <v>131</v>
      </c>
      <c r="BB79" s="8" t="s">
        <v>92</v>
      </c>
      <c r="BC79" s="8" t="s">
        <v>113</v>
      </c>
    </row>
    <row r="80" spans="1:55" x14ac:dyDescent="0.25">
      <c r="A80" s="6">
        <v>23</v>
      </c>
      <c r="B80" s="9">
        <v>45870</v>
      </c>
      <c r="C80" s="8" t="s">
        <v>382</v>
      </c>
      <c r="D80" s="8">
        <v>2022</v>
      </c>
      <c r="E80" s="8"/>
      <c r="F80" s="8" t="s">
        <v>384</v>
      </c>
      <c r="G80" s="8" t="s">
        <v>369</v>
      </c>
      <c r="H80" s="8" t="s">
        <v>91</v>
      </c>
      <c r="I80" s="8" t="s">
        <v>53</v>
      </c>
      <c r="J80" s="8" t="s">
        <v>49</v>
      </c>
      <c r="K80" s="8" t="s">
        <v>133</v>
      </c>
      <c r="L80" s="8" t="s">
        <v>113</v>
      </c>
      <c r="M80" s="8" t="s">
        <v>135</v>
      </c>
      <c r="N80" s="8">
        <v>20400</v>
      </c>
      <c r="O80" s="11"/>
      <c r="P80" s="8" t="s">
        <v>202</v>
      </c>
      <c r="Q80" s="11"/>
      <c r="R80" s="11">
        <v>17800</v>
      </c>
      <c r="S80" s="19" t="s">
        <v>318</v>
      </c>
      <c r="T80" s="8" t="s">
        <v>131</v>
      </c>
      <c r="U80" s="7">
        <v>45876</v>
      </c>
      <c r="V80" s="7" t="s">
        <v>139</v>
      </c>
      <c r="W80" s="7">
        <v>45869</v>
      </c>
      <c r="X80" s="8" t="s">
        <v>50</v>
      </c>
      <c r="Y80" s="8"/>
      <c r="Z80" s="8"/>
      <c r="AA80" s="8"/>
      <c r="AB80" s="8"/>
      <c r="AC80" s="8"/>
      <c r="AD80" s="8"/>
      <c r="AE80" s="7" t="s">
        <v>131</v>
      </c>
      <c r="AF80" s="6"/>
      <c r="AG80" s="6"/>
      <c r="AH80" s="6"/>
      <c r="AI80" s="6"/>
      <c r="AJ80" s="6"/>
      <c r="AK80" s="6"/>
      <c r="AL80" s="8"/>
      <c r="AM80" s="8"/>
      <c r="AN80" s="8" t="s">
        <v>131</v>
      </c>
      <c r="AO80" s="11"/>
      <c r="AP80" s="11"/>
      <c r="AQ80" s="11"/>
      <c r="AR80" s="11"/>
      <c r="AS80" s="11">
        <f>N80-R80</f>
        <v>2600</v>
      </c>
      <c r="AT80" s="11"/>
      <c r="AU80" s="11"/>
      <c r="AV80" s="11"/>
      <c r="AW80" s="11"/>
      <c r="AX80" s="8" t="s">
        <v>161</v>
      </c>
      <c r="AY80" s="8" t="s">
        <v>383</v>
      </c>
      <c r="AZ80" s="8" t="s">
        <v>385</v>
      </c>
      <c r="BA80" s="8" t="s">
        <v>131</v>
      </c>
      <c r="BB80" s="8" t="s">
        <v>92</v>
      </c>
      <c r="BC80" s="8" t="s">
        <v>113</v>
      </c>
    </row>
    <row r="81" spans="1:55" x14ac:dyDescent="0.25">
      <c r="A81" s="6">
        <v>24</v>
      </c>
      <c r="B81" s="9">
        <v>45870</v>
      </c>
      <c r="C81" s="8" t="s">
        <v>386</v>
      </c>
      <c r="D81" s="8">
        <v>2023</v>
      </c>
      <c r="E81" s="8"/>
      <c r="F81" s="8" t="s">
        <v>388</v>
      </c>
      <c r="G81" s="8" t="s">
        <v>369</v>
      </c>
      <c r="H81" s="8" t="s">
        <v>91</v>
      </c>
      <c r="I81" s="8" t="s">
        <v>53</v>
      </c>
      <c r="J81" s="8" t="s">
        <v>49</v>
      </c>
      <c r="K81" s="8" t="s">
        <v>133</v>
      </c>
      <c r="L81" s="8" t="s">
        <v>113</v>
      </c>
      <c r="M81" s="8" t="s">
        <v>135</v>
      </c>
      <c r="N81" s="8">
        <v>20400</v>
      </c>
      <c r="O81" s="11"/>
      <c r="P81" s="8" t="s">
        <v>202</v>
      </c>
      <c r="Q81" s="11"/>
      <c r="R81" s="11">
        <v>17800</v>
      </c>
      <c r="S81" s="19" t="s">
        <v>318</v>
      </c>
      <c r="T81" s="8" t="s">
        <v>131</v>
      </c>
      <c r="U81" s="7">
        <v>45880</v>
      </c>
      <c r="V81" s="7" t="s">
        <v>139</v>
      </c>
      <c r="W81" s="7">
        <v>45869</v>
      </c>
      <c r="X81" s="8" t="s">
        <v>50</v>
      </c>
      <c r="Y81" s="8"/>
      <c r="Z81" s="8"/>
      <c r="AA81" s="8"/>
      <c r="AB81" s="8"/>
      <c r="AC81" s="8"/>
      <c r="AD81" s="8"/>
      <c r="AE81" s="7" t="s">
        <v>131</v>
      </c>
      <c r="AF81" s="6"/>
      <c r="AG81" s="6"/>
      <c r="AH81" s="6"/>
      <c r="AI81" s="6"/>
      <c r="AJ81" s="6"/>
      <c r="AK81" s="6"/>
      <c r="AL81" s="8"/>
      <c r="AM81" s="8"/>
      <c r="AN81" s="8" t="s">
        <v>131</v>
      </c>
      <c r="AO81" s="11"/>
      <c r="AP81" s="11"/>
      <c r="AQ81" s="11"/>
      <c r="AR81" s="11"/>
      <c r="AS81" s="11">
        <f>N81-R81</f>
        <v>2600</v>
      </c>
      <c r="AT81" s="11"/>
      <c r="AU81" s="11"/>
      <c r="AV81" s="11"/>
      <c r="AW81" s="11"/>
      <c r="AX81" s="8" t="s">
        <v>161</v>
      </c>
      <c r="AY81" s="8" t="s">
        <v>387</v>
      </c>
      <c r="AZ81" s="8" t="s">
        <v>389</v>
      </c>
      <c r="BA81" s="8" t="s">
        <v>131</v>
      </c>
      <c r="BB81" s="8" t="s">
        <v>92</v>
      </c>
      <c r="BC81" s="8" t="s">
        <v>113</v>
      </c>
    </row>
    <row r="82" spans="1:55" x14ac:dyDescent="0.25">
      <c r="A82" s="6">
        <v>25</v>
      </c>
      <c r="B82" s="9">
        <v>45870</v>
      </c>
      <c r="C82" s="8" t="s">
        <v>390</v>
      </c>
      <c r="D82" s="8">
        <v>2024</v>
      </c>
      <c r="E82" s="8"/>
      <c r="F82" s="8" t="s">
        <v>392</v>
      </c>
      <c r="G82" s="8" t="s">
        <v>369</v>
      </c>
      <c r="H82" s="8" t="s">
        <v>91</v>
      </c>
      <c r="I82" s="8" t="s">
        <v>53</v>
      </c>
      <c r="J82" s="8" t="s">
        <v>49</v>
      </c>
      <c r="K82" s="8" t="s">
        <v>133</v>
      </c>
      <c r="L82" s="8" t="s">
        <v>113</v>
      </c>
      <c r="M82" s="8" t="s">
        <v>135</v>
      </c>
      <c r="N82" s="8">
        <v>20400</v>
      </c>
      <c r="O82" s="11"/>
      <c r="P82" s="8" t="s">
        <v>202</v>
      </c>
      <c r="Q82" s="11"/>
      <c r="R82" s="11">
        <v>17800</v>
      </c>
      <c r="S82" s="19" t="s">
        <v>318</v>
      </c>
      <c r="T82" s="8" t="s">
        <v>131</v>
      </c>
      <c r="U82" s="7">
        <v>45876</v>
      </c>
      <c r="V82" s="7" t="s">
        <v>139</v>
      </c>
      <c r="W82" s="7">
        <v>45869</v>
      </c>
      <c r="X82" s="8" t="s">
        <v>50</v>
      </c>
      <c r="Y82" s="8"/>
      <c r="Z82" s="8"/>
      <c r="AA82" s="8"/>
      <c r="AB82" s="8"/>
      <c r="AC82" s="8"/>
      <c r="AD82" s="8"/>
      <c r="AE82" s="7" t="s">
        <v>131</v>
      </c>
      <c r="AF82" s="6"/>
      <c r="AG82" s="6"/>
      <c r="AH82" s="6"/>
      <c r="AI82" s="6"/>
      <c r="AJ82" s="6"/>
      <c r="AK82" s="6"/>
      <c r="AL82" s="8"/>
      <c r="AM82" s="8"/>
      <c r="AN82" s="8" t="s">
        <v>131</v>
      </c>
      <c r="AO82" s="11"/>
      <c r="AP82" s="11"/>
      <c r="AQ82" s="11"/>
      <c r="AR82" s="11"/>
      <c r="AS82" s="11">
        <f>N82-R82</f>
        <v>2600</v>
      </c>
      <c r="AT82" s="11"/>
      <c r="AU82" s="11"/>
      <c r="AV82" s="11"/>
      <c r="AW82" s="11"/>
      <c r="AX82" s="8" t="s">
        <v>161</v>
      </c>
      <c r="AY82" s="8" t="s">
        <v>391</v>
      </c>
      <c r="AZ82" s="8" t="s">
        <v>393</v>
      </c>
      <c r="BA82" s="8" t="s">
        <v>131</v>
      </c>
      <c r="BB82" s="8" t="s">
        <v>92</v>
      </c>
      <c r="BC82" s="8" t="s">
        <v>113</v>
      </c>
    </row>
    <row r="83" spans="1:55" x14ac:dyDescent="0.25">
      <c r="A83" s="6">
        <v>26</v>
      </c>
      <c r="B83" s="9">
        <v>45870</v>
      </c>
      <c r="C83" s="8" t="s">
        <v>394</v>
      </c>
      <c r="D83" s="8">
        <v>2025</v>
      </c>
      <c r="E83" s="8"/>
      <c r="F83" s="8" t="s">
        <v>396</v>
      </c>
      <c r="G83" s="8" t="s">
        <v>369</v>
      </c>
      <c r="H83" s="8" t="s">
        <v>91</v>
      </c>
      <c r="I83" s="8" t="s">
        <v>53</v>
      </c>
      <c r="J83" s="8" t="s">
        <v>49</v>
      </c>
      <c r="K83" s="8" t="s">
        <v>133</v>
      </c>
      <c r="L83" s="8" t="s">
        <v>113</v>
      </c>
      <c r="M83" s="8" t="s">
        <v>135</v>
      </c>
      <c r="N83" s="8">
        <v>20400</v>
      </c>
      <c r="O83" s="11"/>
      <c r="P83" s="8" t="s">
        <v>202</v>
      </c>
      <c r="Q83" s="11"/>
      <c r="R83" s="11">
        <v>17800</v>
      </c>
      <c r="S83" s="19" t="s">
        <v>318</v>
      </c>
      <c r="T83" s="8" t="s">
        <v>131</v>
      </c>
      <c r="U83" s="7">
        <v>45875</v>
      </c>
      <c r="V83" s="7" t="s">
        <v>139</v>
      </c>
      <c r="W83" s="7">
        <v>45869</v>
      </c>
      <c r="X83" s="8" t="s">
        <v>50</v>
      </c>
      <c r="Y83" s="8"/>
      <c r="Z83" s="8"/>
      <c r="AA83" s="8"/>
      <c r="AB83" s="8"/>
      <c r="AC83" s="8"/>
      <c r="AD83" s="8"/>
      <c r="AE83" s="7" t="s">
        <v>131</v>
      </c>
      <c r="AF83" s="6"/>
      <c r="AG83" s="6"/>
      <c r="AH83" s="6"/>
      <c r="AI83" s="6"/>
      <c r="AJ83" s="6"/>
      <c r="AK83" s="6"/>
      <c r="AL83" s="8"/>
      <c r="AM83" s="8"/>
      <c r="AN83" s="8" t="s">
        <v>131</v>
      </c>
      <c r="AO83" s="11"/>
      <c r="AP83" s="11"/>
      <c r="AQ83" s="11"/>
      <c r="AR83" s="11"/>
      <c r="AS83" s="11">
        <f>N83-R83</f>
        <v>2600</v>
      </c>
      <c r="AT83" s="11"/>
      <c r="AU83" s="11"/>
      <c r="AV83" s="11"/>
      <c r="AW83" s="11"/>
      <c r="AX83" s="8" t="s">
        <v>161</v>
      </c>
      <c r="AY83" s="8" t="s">
        <v>395</v>
      </c>
      <c r="AZ83" s="8" t="s">
        <v>397</v>
      </c>
      <c r="BA83" s="8" t="s">
        <v>131</v>
      </c>
      <c r="BB83" s="8" t="s">
        <v>92</v>
      </c>
      <c r="BC83" s="8" t="s">
        <v>113</v>
      </c>
    </row>
    <row r="84" spans="1:55" x14ac:dyDescent="0.25">
      <c r="A84" s="6">
        <v>27</v>
      </c>
      <c r="B84" s="9">
        <v>45870</v>
      </c>
      <c r="C84" s="8" t="s">
        <v>398</v>
      </c>
      <c r="D84" s="8">
        <v>2026</v>
      </c>
      <c r="E84" s="8"/>
      <c r="F84" s="8" t="s">
        <v>400</v>
      </c>
      <c r="G84" s="8" t="s">
        <v>369</v>
      </c>
      <c r="H84" s="8" t="s">
        <v>91</v>
      </c>
      <c r="I84" s="8" t="s">
        <v>53</v>
      </c>
      <c r="J84" s="8" t="s">
        <v>49</v>
      </c>
      <c r="K84" s="8" t="s">
        <v>133</v>
      </c>
      <c r="L84" s="8" t="s">
        <v>113</v>
      </c>
      <c r="M84" s="8" t="s">
        <v>135</v>
      </c>
      <c r="N84" s="8">
        <v>20400</v>
      </c>
      <c r="O84" s="11"/>
      <c r="P84" s="8" t="s">
        <v>202</v>
      </c>
      <c r="Q84" s="11"/>
      <c r="R84" s="11">
        <v>17800</v>
      </c>
      <c r="S84" s="19" t="s">
        <v>318</v>
      </c>
      <c r="T84" s="8" t="s">
        <v>131</v>
      </c>
      <c r="U84" s="7">
        <v>45879</v>
      </c>
      <c r="V84" s="7" t="s">
        <v>139</v>
      </c>
      <c r="W84" s="7">
        <v>45869</v>
      </c>
      <c r="X84" s="8" t="s">
        <v>50</v>
      </c>
      <c r="Y84" s="8"/>
      <c r="Z84" s="8"/>
      <c r="AA84" s="8"/>
      <c r="AB84" s="8"/>
      <c r="AC84" s="8"/>
      <c r="AD84" s="8"/>
      <c r="AE84" s="7" t="s">
        <v>131</v>
      </c>
      <c r="AF84" s="6"/>
      <c r="AG84" s="6"/>
      <c r="AH84" s="6"/>
      <c r="AI84" s="6"/>
      <c r="AJ84" s="6"/>
      <c r="AK84" s="6"/>
      <c r="AL84" s="8"/>
      <c r="AM84" s="8"/>
      <c r="AN84" s="8" t="s">
        <v>131</v>
      </c>
      <c r="AO84" s="11"/>
      <c r="AP84" s="11"/>
      <c r="AQ84" s="11"/>
      <c r="AR84" s="11"/>
      <c r="AS84" s="11">
        <f>N84-R84</f>
        <v>2600</v>
      </c>
      <c r="AT84" s="11"/>
      <c r="AU84" s="11"/>
      <c r="AV84" s="11"/>
      <c r="AW84" s="11"/>
      <c r="AX84" s="8" t="s">
        <v>161</v>
      </c>
      <c r="AY84" s="8" t="s">
        <v>399</v>
      </c>
      <c r="AZ84" s="8" t="s">
        <v>368</v>
      </c>
      <c r="BA84" s="8" t="s">
        <v>131</v>
      </c>
      <c r="BB84" s="8" t="s">
        <v>92</v>
      </c>
      <c r="BC84" s="8" t="s">
        <v>113</v>
      </c>
    </row>
    <row r="85" spans="1:55" x14ac:dyDescent="0.25">
      <c r="A85" s="6">
        <v>28</v>
      </c>
      <c r="B85" s="9">
        <v>45870</v>
      </c>
      <c r="C85" s="8" t="s">
        <v>401</v>
      </c>
      <c r="D85" s="8">
        <v>2027</v>
      </c>
      <c r="E85" s="8"/>
      <c r="F85" s="8" t="s">
        <v>403</v>
      </c>
      <c r="G85" s="8" t="s">
        <v>369</v>
      </c>
      <c r="H85" s="8" t="s">
        <v>91</v>
      </c>
      <c r="I85" s="8" t="s">
        <v>53</v>
      </c>
      <c r="J85" s="8" t="s">
        <v>49</v>
      </c>
      <c r="K85" s="8" t="s">
        <v>133</v>
      </c>
      <c r="L85" s="8" t="s">
        <v>113</v>
      </c>
      <c r="M85" s="8" t="s">
        <v>135</v>
      </c>
      <c r="N85" s="8">
        <v>20400</v>
      </c>
      <c r="O85" s="11"/>
      <c r="P85" s="8" t="s">
        <v>202</v>
      </c>
      <c r="Q85" s="11"/>
      <c r="R85" s="11">
        <v>17800</v>
      </c>
      <c r="S85" s="19" t="s">
        <v>318</v>
      </c>
      <c r="T85" s="8" t="s">
        <v>131</v>
      </c>
      <c r="U85" s="7">
        <v>45874</v>
      </c>
      <c r="V85" s="7" t="s">
        <v>139</v>
      </c>
      <c r="W85" s="7">
        <v>45869</v>
      </c>
      <c r="X85" s="8" t="s">
        <v>50</v>
      </c>
      <c r="Y85" s="8"/>
      <c r="Z85" s="8"/>
      <c r="AA85" s="8"/>
      <c r="AB85" s="8"/>
      <c r="AC85" s="8"/>
      <c r="AD85" s="8"/>
      <c r="AE85" s="7" t="s">
        <v>131</v>
      </c>
      <c r="AF85" s="6"/>
      <c r="AG85" s="6"/>
      <c r="AH85" s="6"/>
      <c r="AI85" s="6"/>
      <c r="AJ85" s="6"/>
      <c r="AK85" s="6"/>
      <c r="AL85" s="8"/>
      <c r="AM85" s="8"/>
      <c r="AN85" s="8" t="s">
        <v>131</v>
      </c>
      <c r="AO85" s="11"/>
      <c r="AP85" s="11"/>
      <c r="AQ85" s="11"/>
      <c r="AR85" s="11"/>
      <c r="AS85" s="11">
        <f>N85-R85</f>
        <v>2600</v>
      </c>
      <c r="AT85" s="11"/>
      <c r="AU85" s="11"/>
      <c r="AV85" s="11"/>
      <c r="AW85" s="11"/>
      <c r="AX85" s="8" t="s">
        <v>161</v>
      </c>
      <c r="AY85" s="8" t="s">
        <v>402</v>
      </c>
      <c r="AZ85" s="8" t="s">
        <v>404</v>
      </c>
      <c r="BA85" s="8" t="s">
        <v>131</v>
      </c>
      <c r="BB85" s="8" t="s">
        <v>92</v>
      </c>
      <c r="BC85" s="8" t="s">
        <v>113</v>
      </c>
    </row>
    <row r="86" spans="1:55" x14ac:dyDescent="0.25">
      <c r="A86" s="6">
        <v>29</v>
      </c>
      <c r="B86" s="9">
        <v>45870</v>
      </c>
      <c r="C86" s="8" t="s">
        <v>405</v>
      </c>
      <c r="D86" s="8">
        <v>2028</v>
      </c>
      <c r="E86" s="8"/>
      <c r="F86" s="8" t="s">
        <v>407</v>
      </c>
      <c r="G86" s="8" t="s">
        <v>369</v>
      </c>
      <c r="H86" s="8" t="s">
        <v>91</v>
      </c>
      <c r="I86" s="8" t="s">
        <v>53</v>
      </c>
      <c r="J86" s="8" t="s">
        <v>49</v>
      </c>
      <c r="K86" s="8" t="s">
        <v>133</v>
      </c>
      <c r="L86" s="8" t="s">
        <v>113</v>
      </c>
      <c r="M86" s="8" t="s">
        <v>135</v>
      </c>
      <c r="N86" s="8">
        <v>20400</v>
      </c>
      <c r="O86" s="11"/>
      <c r="P86" s="8" t="s">
        <v>202</v>
      </c>
      <c r="Q86" s="11"/>
      <c r="R86" s="11">
        <v>17800</v>
      </c>
      <c r="S86" s="19" t="s">
        <v>318</v>
      </c>
      <c r="T86" s="8" t="s">
        <v>131</v>
      </c>
      <c r="U86" s="7">
        <v>45877</v>
      </c>
      <c r="V86" s="7" t="s">
        <v>139</v>
      </c>
      <c r="W86" s="7">
        <v>45869</v>
      </c>
      <c r="X86" s="8" t="s">
        <v>50</v>
      </c>
      <c r="Y86" s="8"/>
      <c r="Z86" s="8"/>
      <c r="AA86" s="8"/>
      <c r="AB86" s="8"/>
      <c r="AC86" s="8"/>
      <c r="AD86" s="8"/>
      <c r="AE86" s="7" t="s">
        <v>131</v>
      </c>
      <c r="AF86" s="6"/>
      <c r="AG86" s="6"/>
      <c r="AH86" s="6"/>
      <c r="AI86" s="6"/>
      <c r="AJ86" s="6"/>
      <c r="AK86" s="6"/>
      <c r="AL86" s="8"/>
      <c r="AM86" s="8"/>
      <c r="AN86" s="8" t="s">
        <v>131</v>
      </c>
      <c r="AO86" s="11"/>
      <c r="AP86" s="11"/>
      <c r="AQ86" s="11"/>
      <c r="AR86" s="11"/>
      <c r="AS86" s="11">
        <f>N86-R86</f>
        <v>2600</v>
      </c>
      <c r="AT86" s="11"/>
      <c r="AU86" s="11"/>
      <c r="AV86" s="11"/>
      <c r="AW86" s="11"/>
      <c r="AX86" s="8" t="s">
        <v>161</v>
      </c>
      <c r="AY86" s="8" t="s">
        <v>406</v>
      </c>
      <c r="AZ86" s="8" t="s">
        <v>408</v>
      </c>
      <c r="BA86" s="8" t="s">
        <v>131</v>
      </c>
      <c r="BB86" s="8" t="s">
        <v>92</v>
      </c>
      <c r="BC86" s="8" t="s">
        <v>113</v>
      </c>
    </row>
    <row r="87" spans="1:55" x14ac:dyDescent="0.25">
      <c r="A87" s="6">
        <v>30</v>
      </c>
      <c r="B87" s="9">
        <v>45870</v>
      </c>
      <c r="C87" s="8" t="s">
        <v>409</v>
      </c>
      <c r="D87" s="8">
        <v>2029</v>
      </c>
      <c r="E87" s="8"/>
      <c r="F87" s="8" t="s">
        <v>411</v>
      </c>
      <c r="G87" s="8" t="s">
        <v>369</v>
      </c>
      <c r="H87" s="8" t="s">
        <v>91</v>
      </c>
      <c r="I87" s="8" t="s">
        <v>53</v>
      </c>
      <c r="J87" s="8" t="s">
        <v>49</v>
      </c>
      <c r="K87" s="8" t="s">
        <v>133</v>
      </c>
      <c r="L87" s="8" t="s">
        <v>113</v>
      </c>
      <c r="M87" s="8" t="s">
        <v>135</v>
      </c>
      <c r="N87" s="8">
        <v>21600</v>
      </c>
      <c r="O87" s="11"/>
      <c r="P87" s="8" t="s">
        <v>202</v>
      </c>
      <c r="Q87" s="11"/>
      <c r="R87" s="11">
        <v>17800</v>
      </c>
      <c r="S87" s="19" t="s">
        <v>171</v>
      </c>
      <c r="T87" s="8" t="s">
        <v>412</v>
      </c>
      <c r="U87" s="7">
        <v>45880</v>
      </c>
      <c r="V87" s="7" t="s">
        <v>139</v>
      </c>
      <c r="W87" s="7">
        <v>45869</v>
      </c>
      <c r="X87" s="8" t="s">
        <v>50</v>
      </c>
      <c r="Y87" s="8"/>
      <c r="Z87" s="8"/>
      <c r="AA87" s="8"/>
      <c r="AB87" s="8"/>
      <c r="AC87" s="8"/>
      <c r="AD87" s="8"/>
      <c r="AE87" s="7" t="s">
        <v>131</v>
      </c>
      <c r="AF87" s="6">
        <v>7700</v>
      </c>
      <c r="AG87" s="6">
        <v>6500</v>
      </c>
      <c r="AH87" s="6">
        <v>2000</v>
      </c>
      <c r="AI87" s="6">
        <v>700</v>
      </c>
      <c r="AJ87" s="6">
        <v>1500</v>
      </c>
      <c r="AK87" s="6">
        <v>2000</v>
      </c>
      <c r="AL87" s="8" t="s">
        <v>131</v>
      </c>
      <c r="AM87" s="8">
        <v>1200</v>
      </c>
      <c r="AN87" s="8" t="s">
        <v>131</v>
      </c>
      <c r="AO87" s="11"/>
      <c r="AP87" s="11"/>
      <c r="AQ87" s="11"/>
      <c r="AR87" s="11"/>
      <c r="AS87" s="11">
        <f>N87-R87</f>
        <v>3800</v>
      </c>
      <c r="AT87" s="11"/>
      <c r="AU87" s="11"/>
      <c r="AV87" s="11"/>
      <c r="AW87" s="11"/>
      <c r="AX87" s="8" t="s">
        <v>161</v>
      </c>
      <c r="AY87" s="8" t="s">
        <v>410</v>
      </c>
      <c r="AZ87" s="8" t="s">
        <v>397</v>
      </c>
      <c r="BA87" s="8" t="s">
        <v>131</v>
      </c>
      <c r="BB87" s="8" t="s">
        <v>92</v>
      </c>
      <c r="BC87" s="8" t="s">
        <v>113</v>
      </c>
    </row>
    <row r="88" spans="1:55" x14ac:dyDescent="0.25">
      <c r="A88" s="6">
        <v>31</v>
      </c>
      <c r="B88" s="9">
        <v>45870</v>
      </c>
      <c r="C88" s="8" t="s">
        <v>413</v>
      </c>
      <c r="D88" s="8">
        <v>2030</v>
      </c>
      <c r="E88" s="8"/>
      <c r="F88" s="8" t="s">
        <v>415</v>
      </c>
      <c r="G88" s="8" t="s">
        <v>369</v>
      </c>
      <c r="H88" s="8" t="s">
        <v>91</v>
      </c>
      <c r="I88" s="8" t="s">
        <v>53</v>
      </c>
      <c r="J88" s="8" t="s">
        <v>49</v>
      </c>
      <c r="K88" s="8" t="s">
        <v>133</v>
      </c>
      <c r="L88" s="8" t="s">
        <v>113</v>
      </c>
      <c r="M88" s="8" t="s">
        <v>135</v>
      </c>
      <c r="N88" s="8">
        <v>20400</v>
      </c>
      <c r="O88" s="11"/>
      <c r="P88" s="8" t="s">
        <v>202</v>
      </c>
      <c r="Q88" s="11"/>
      <c r="R88" s="11">
        <v>17800</v>
      </c>
      <c r="S88" s="19" t="s">
        <v>318</v>
      </c>
      <c r="T88" s="8" t="s">
        <v>131</v>
      </c>
      <c r="U88" s="7">
        <v>45877</v>
      </c>
      <c r="V88" s="7" t="s">
        <v>139</v>
      </c>
      <c r="W88" s="7">
        <v>45869</v>
      </c>
      <c r="X88" s="8" t="s">
        <v>50</v>
      </c>
      <c r="Y88" s="8"/>
      <c r="Z88" s="8"/>
      <c r="AA88" s="8"/>
      <c r="AB88" s="8"/>
      <c r="AC88" s="8"/>
      <c r="AD88" s="8"/>
      <c r="AE88" s="7" t="s">
        <v>131</v>
      </c>
      <c r="AF88" s="6"/>
      <c r="AG88" s="6"/>
      <c r="AH88" s="6"/>
      <c r="AI88" s="6"/>
      <c r="AJ88" s="6"/>
      <c r="AK88" s="6"/>
      <c r="AL88" s="8"/>
      <c r="AM88" s="8"/>
      <c r="AN88" s="8" t="s">
        <v>131</v>
      </c>
      <c r="AO88" s="11"/>
      <c r="AP88" s="11"/>
      <c r="AQ88" s="11"/>
      <c r="AR88" s="11"/>
      <c r="AS88" s="11">
        <f>N88-R88</f>
        <v>2600</v>
      </c>
      <c r="AT88" s="11"/>
      <c r="AU88" s="11"/>
      <c r="AV88" s="11"/>
      <c r="AW88" s="11"/>
      <c r="AX88" s="8" t="s">
        <v>161</v>
      </c>
      <c r="AY88" s="8" t="s">
        <v>414</v>
      </c>
      <c r="AZ88" s="8" t="s">
        <v>416</v>
      </c>
      <c r="BA88" s="8" t="s">
        <v>131</v>
      </c>
      <c r="BB88" s="8" t="s">
        <v>92</v>
      </c>
      <c r="BC88" s="8" t="s">
        <v>113</v>
      </c>
    </row>
    <row r="89" spans="1:55" x14ac:dyDescent="0.25">
      <c r="A89" s="6">
        <v>32</v>
      </c>
      <c r="B89" s="9">
        <v>45870</v>
      </c>
      <c r="C89" s="8" t="s">
        <v>417</v>
      </c>
      <c r="D89" s="8">
        <v>2031</v>
      </c>
      <c r="E89" s="8"/>
      <c r="F89" s="8" t="s">
        <v>419</v>
      </c>
      <c r="G89" s="8" t="s">
        <v>369</v>
      </c>
      <c r="H89" s="8" t="s">
        <v>91</v>
      </c>
      <c r="I89" s="8" t="s">
        <v>53</v>
      </c>
      <c r="J89" s="8" t="s">
        <v>49</v>
      </c>
      <c r="K89" s="8" t="s">
        <v>133</v>
      </c>
      <c r="L89" s="8" t="s">
        <v>113</v>
      </c>
      <c r="M89" s="8" t="s">
        <v>135</v>
      </c>
      <c r="N89" s="8">
        <v>20400</v>
      </c>
      <c r="O89" s="11"/>
      <c r="P89" s="8" t="s">
        <v>202</v>
      </c>
      <c r="Q89" s="11"/>
      <c r="R89" s="11">
        <v>17800</v>
      </c>
      <c r="S89" s="19" t="s">
        <v>318</v>
      </c>
      <c r="T89" s="8" t="s">
        <v>131</v>
      </c>
      <c r="U89" s="7">
        <v>45877</v>
      </c>
      <c r="V89" s="7" t="s">
        <v>139</v>
      </c>
      <c r="W89" s="7">
        <v>45869</v>
      </c>
      <c r="X89" s="8" t="s">
        <v>50</v>
      </c>
      <c r="Y89" s="8"/>
      <c r="Z89" s="8"/>
      <c r="AA89" s="8"/>
      <c r="AB89" s="8"/>
      <c r="AC89" s="8"/>
      <c r="AD89" s="8"/>
      <c r="AE89" s="7" t="s">
        <v>131</v>
      </c>
      <c r="AF89" s="6"/>
      <c r="AG89" s="6"/>
      <c r="AH89" s="6"/>
      <c r="AI89" s="6"/>
      <c r="AJ89" s="6"/>
      <c r="AK89" s="6"/>
      <c r="AL89" s="8"/>
      <c r="AM89" s="8"/>
      <c r="AN89" s="8" t="s">
        <v>131</v>
      </c>
      <c r="AO89" s="11"/>
      <c r="AP89" s="11"/>
      <c r="AQ89" s="11"/>
      <c r="AR89" s="11"/>
      <c r="AS89" s="11">
        <f>N89-R89</f>
        <v>2600</v>
      </c>
      <c r="AT89" s="11"/>
      <c r="AU89" s="11"/>
      <c r="AV89" s="11"/>
      <c r="AW89" s="11"/>
      <c r="AX89" s="8" t="s">
        <v>161</v>
      </c>
      <c r="AY89" s="8" t="s">
        <v>418</v>
      </c>
      <c r="AZ89" s="8" t="s">
        <v>420</v>
      </c>
      <c r="BA89" s="8" t="s">
        <v>131</v>
      </c>
      <c r="BB89" s="8" t="s">
        <v>92</v>
      </c>
      <c r="BC89" s="8" t="s">
        <v>113</v>
      </c>
    </row>
    <row r="90" spans="1:55" x14ac:dyDescent="0.25">
      <c r="A90" s="6">
        <v>33</v>
      </c>
      <c r="B90" s="9">
        <v>45870</v>
      </c>
      <c r="C90" s="8" t="s">
        <v>421</v>
      </c>
      <c r="D90" s="8">
        <v>2032</v>
      </c>
      <c r="E90" s="8"/>
      <c r="F90" s="8" t="s">
        <v>423</v>
      </c>
      <c r="G90" s="8" t="s">
        <v>369</v>
      </c>
      <c r="H90" s="8" t="s">
        <v>91</v>
      </c>
      <c r="I90" s="8" t="s">
        <v>53</v>
      </c>
      <c r="J90" s="8" t="s">
        <v>49</v>
      </c>
      <c r="K90" s="8" t="s">
        <v>133</v>
      </c>
      <c r="L90" s="8" t="s">
        <v>113</v>
      </c>
      <c r="M90" s="8" t="s">
        <v>135</v>
      </c>
      <c r="N90" s="8">
        <v>20400</v>
      </c>
      <c r="O90" s="11"/>
      <c r="P90" s="8" t="s">
        <v>202</v>
      </c>
      <c r="Q90" s="11"/>
      <c r="R90" s="11">
        <v>17800</v>
      </c>
      <c r="S90" s="19" t="s">
        <v>318</v>
      </c>
      <c r="T90" s="8" t="s">
        <v>131</v>
      </c>
      <c r="U90" s="7">
        <v>45875</v>
      </c>
      <c r="V90" s="7" t="s">
        <v>139</v>
      </c>
      <c r="W90" s="7">
        <v>45869</v>
      </c>
      <c r="X90" s="8" t="s">
        <v>50</v>
      </c>
      <c r="Y90" s="8"/>
      <c r="Z90" s="8"/>
      <c r="AA90" s="8"/>
      <c r="AB90" s="8"/>
      <c r="AC90" s="8"/>
      <c r="AD90" s="8"/>
      <c r="AE90" s="7" t="s">
        <v>131</v>
      </c>
      <c r="AF90" s="6"/>
      <c r="AG90" s="6"/>
      <c r="AH90" s="6"/>
      <c r="AI90" s="6"/>
      <c r="AJ90" s="6"/>
      <c r="AK90" s="6"/>
      <c r="AL90" s="8"/>
      <c r="AM90" s="8"/>
      <c r="AN90" s="8" t="s">
        <v>131</v>
      </c>
      <c r="AO90" s="11"/>
      <c r="AP90" s="11"/>
      <c r="AQ90" s="11"/>
      <c r="AR90" s="11"/>
      <c r="AS90" s="11">
        <f>N90-R90</f>
        <v>2600</v>
      </c>
      <c r="AT90" s="11"/>
      <c r="AU90" s="11"/>
      <c r="AV90" s="11"/>
      <c r="AW90" s="11"/>
      <c r="AX90" s="8" t="s">
        <v>161</v>
      </c>
      <c r="AY90" s="8" t="s">
        <v>422</v>
      </c>
      <c r="AZ90" s="8" t="s">
        <v>424</v>
      </c>
      <c r="BA90" s="8" t="s">
        <v>131</v>
      </c>
      <c r="BB90" s="8" t="s">
        <v>92</v>
      </c>
      <c r="BC90" s="8" t="s">
        <v>113</v>
      </c>
    </row>
    <row r="91" spans="1:55" x14ac:dyDescent="0.25">
      <c r="A91" s="6">
        <v>34</v>
      </c>
      <c r="B91" s="9">
        <v>45870</v>
      </c>
      <c r="C91" s="8" t="s">
        <v>425</v>
      </c>
      <c r="D91" s="8">
        <v>2033</v>
      </c>
      <c r="E91" s="8"/>
      <c r="F91" s="8" t="s">
        <v>427</v>
      </c>
      <c r="G91" s="8" t="s">
        <v>369</v>
      </c>
      <c r="H91" s="8" t="s">
        <v>91</v>
      </c>
      <c r="I91" s="8" t="s">
        <v>53</v>
      </c>
      <c r="J91" s="8" t="s">
        <v>49</v>
      </c>
      <c r="K91" s="8" t="s">
        <v>133</v>
      </c>
      <c r="L91" s="8" t="s">
        <v>113</v>
      </c>
      <c r="M91" s="8" t="s">
        <v>135</v>
      </c>
      <c r="N91" s="8">
        <v>20400</v>
      </c>
      <c r="O91" s="11"/>
      <c r="P91" s="8" t="s">
        <v>202</v>
      </c>
      <c r="Q91" s="11"/>
      <c r="R91" s="11">
        <v>17800</v>
      </c>
      <c r="S91" s="19" t="s">
        <v>318</v>
      </c>
      <c r="T91" s="8" t="s">
        <v>131</v>
      </c>
      <c r="U91" s="7">
        <v>45879</v>
      </c>
      <c r="V91" s="7" t="s">
        <v>139</v>
      </c>
      <c r="W91" s="7">
        <v>45869</v>
      </c>
      <c r="X91" s="8" t="s">
        <v>50</v>
      </c>
      <c r="Y91" s="8"/>
      <c r="Z91" s="8"/>
      <c r="AA91" s="8"/>
      <c r="AB91" s="8"/>
      <c r="AC91" s="8"/>
      <c r="AD91" s="8"/>
      <c r="AE91" s="7" t="s">
        <v>131</v>
      </c>
      <c r="AF91" s="6"/>
      <c r="AG91" s="6"/>
      <c r="AH91" s="6"/>
      <c r="AI91" s="6"/>
      <c r="AJ91" s="6"/>
      <c r="AK91" s="6"/>
      <c r="AL91" s="8"/>
      <c r="AM91" s="8"/>
      <c r="AN91" s="8" t="s">
        <v>131</v>
      </c>
      <c r="AO91" s="11"/>
      <c r="AP91" s="11"/>
      <c r="AQ91" s="11"/>
      <c r="AR91" s="11"/>
      <c r="AS91" s="11">
        <f>N91-R91</f>
        <v>2600</v>
      </c>
      <c r="AT91" s="11"/>
      <c r="AU91" s="11"/>
      <c r="AV91" s="11"/>
      <c r="AW91" s="11"/>
      <c r="AX91" s="8" t="s">
        <v>161</v>
      </c>
      <c r="AY91" s="8" t="s">
        <v>426</v>
      </c>
      <c r="AZ91" s="8" t="s">
        <v>416</v>
      </c>
      <c r="BA91" s="8" t="s">
        <v>131</v>
      </c>
      <c r="BB91" s="8" t="s">
        <v>92</v>
      </c>
      <c r="BC91" s="8" t="s">
        <v>113</v>
      </c>
    </row>
    <row r="92" spans="1:55" x14ac:dyDescent="0.25">
      <c r="A92" s="6">
        <v>35</v>
      </c>
      <c r="B92" s="9">
        <v>45870</v>
      </c>
      <c r="C92" s="8" t="s">
        <v>428</v>
      </c>
      <c r="D92" s="8">
        <v>2034</v>
      </c>
      <c r="E92" s="8"/>
      <c r="F92" s="8" t="s">
        <v>430</v>
      </c>
      <c r="G92" s="8" t="s">
        <v>369</v>
      </c>
      <c r="H92" s="8" t="s">
        <v>91</v>
      </c>
      <c r="I92" s="8" t="s">
        <v>53</v>
      </c>
      <c r="J92" s="8" t="s">
        <v>49</v>
      </c>
      <c r="K92" s="8" t="s">
        <v>133</v>
      </c>
      <c r="L92" s="8" t="s">
        <v>113</v>
      </c>
      <c r="M92" s="8" t="s">
        <v>135</v>
      </c>
      <c r="N92" s="8">
        <v>20400</v>
      </c>
      <c r="O92" s="11"/>
      <c r="P92" s="8" t="s">
        <v>202</v>
      </c>
      <c r="Q92" s="11"/>
      <c r="R92" s="11">
        <v>17800</v>
      </c>
      <c r="S92" s="19" t="s">
        <v>318</v>
      </c>
      <c r="T92" s="8" t="s">
        <v>131</v>
      </c>
      <c r="U92" s="7">
        <v>45876</v>
      </c>
      <c r="V92" s="7" t="s">
        <v>139</v>
      </c>
      <c r="W92" s="7">
        <v>45869</v>
      </c>
      <c r="X92" s="8" t="s">
        <v>50</v>
      </c>
      <c r="Y92" s="8"/>
      <c r="Z92" s="8"/>
      <c r="AA92" s="8"/>
      <c r="AB92" s="8"/>
      <c r="AC92" s="8"/>
      <c r="AD92" s="8"/>
      <c r="AE92" s="7" t="s">
        <v>131</v>
      </c>
      <c r="AF92" s="6"/>
      <c r="AG92" s="6"/>
      <c r="AH92" s="6"/>
      <c r="AI92" s="6"/>
      <c r="AJ92" s="6"/>
      <c r="AK92" s="6"/>
      <c r="AL92" s="8"/>
      <c r="AM92" s="8"/>
      <c r="AN92" s="8" t="s">
        <v>131</v>
      </c>
      <c r="AO92" s="11"/>
      <c r="AP92" s="11"/>
      <c r="AQ92" s="11"/>
      <c r="AR92" s="11"/>
      <c r="AS92" s="11">
        <f>N92-R92</f>
        <v>2600</v>
      </c>
      <c r="AT92" s="11"/>
      <c r="AU92" s="11"/>
      <c r="AV92" s="11"/>
      <c r="AW92" s="11"/>
      <c r="AX92" s="8" t="s">
        <v>161</v>
      </c>
      <c r="AY92" s="8" t="s">
        <v>429</v>
      </c>
      <c r="AZ92" s="8" t="s">
        <v>369</v>
      </c>
      <c r="BA92" s="8" t="s">
        <v>131</v>
      </c>
      <c r="BB92" s="8" t="s">
        <v>92</v>
      </c>
      <c r="BC92" s="8" t="s">
        <v>113</v>
      </c>
    </row>
    <row r="93" spans="1:55" x14ac:dyDescent="0.25">
      <c r="A93" s="6">
        <v>36</v>
      </c>
      <c r="B93" s="9">
        <v>45870</v>
      </c>
      <c r="C93" s="8" t="s">
        <v>431</v>
      </c>
      <c r="D93" s="8">
        <v>2035</v>
      </c>
      <c r="E93" s="8"/>
      <c r="F93" s="8" t="s">
        <v>433</v>
      </c>
      <c r="G93" s="8" t="s">
        <v>369</v>
      </c>
      <c r="H93" s="8" t="s">
        <v>91</v>
      </c>
      <c r="I93" s="8" t="s">
        <v>53</v>
      </c>
      <c r="J93" s="8" t="s">
        <v>49</v>
      </c>
      <c r="K93" s="8" t="s">
        <v>133</v>
      </c>
      <c r="L93" s="8" t="s">
        <v>113</v>
      </c>
      <c r="M93" s="8" t="s">
        <v>135</v>
      </c>
      <c r="N93" s="8">
        <v>20400</v>
      </c>
      <c r="O93" s="11"/>
      <c r="P93" s="8" t="s">
        <v>202</v>
      </c>
      <c r="Q93" s="11"/>
      <c r="R93" s="11">
        <v>17800</v>
      </c>
      <c r="S93" s="19" t="s">
        <v>318</v>
      </c>
      <c r="T93" s="8" t="s">
        <v>131</v>
      </c>
      <c r="U93" s="7">
        <v>45879</v>
      </c>
      <c r="V93" s="7" t="s">
        <v>139</v>
      </c>
      <c r="W93" s="7">
        <v>45869</v>
      </c>
      <c r="X93" s="8" t="s">
        <v>50</v>
      </c>
      <c r="Y93" s="8"/>
      <c r="Z93" s="8"/>
      <c r="AA93" s="8"/>
      <c r="AB93" s="8"/>
      <c r="AC93" s="8"/>
      <c r="AD93" s="8"/>
      <c r="AE93" s="7" t="s">
        <v>131</v>
      </c>
      <c r="AF93" s="6"/>
      <c r="AG93" s="6"/>
      <c r="AH93" s="6"/>
      <c r="AI93" s="6"/>
      <c r="AJ93" s="6"/>
      <c r="AK93" s="6"/>
      <c r="AL93" s="8"/>
      <c r="AM93" s="8"/>
      <c r="AN93" s="8" t="s">
        <v>131</v>
      </c>
      <c r="AO93" s="11"/>
      <c r="AP93" s="11"/>
      <c r="AQ93" s="11"/>
      <c r="AR93" s="11"/>
      <c r="AS93" s="11">
        <f>N93-R93</f>
        <v>2600</v>
      </c>
      <c r="AT93" s="11"/>
      <c r="AU93" s="11"/>
      <c r="AV93" s="11"/>
      <c r="AW93" s="11"/>
      <c r="AX93" s="8" t="s">
        <v>161</v>
      </c>
      <c r="AY93" s="8" t="s">
        <v>432</v>
      </c>
      <c r="AZ93" s="8" t="s">
        <v>434</v>
      </c>
      <c r="BA93" s="8" t="s">
        <v>131</v>
      </c>
      <c r="BB93" s="8" t="s">
        <v>92</v>
      </c>
      <c r="BC93" s="8" t="s">
        <v>113</v>
      </c>
    </row>
    <row r="94" spans="1:55" x14ac:dyDescent="0.25">
      <c r="A94" s="6">
        <v>37</v>
      </c>
      <c r="B94" s="9">
        <v>45870</v>
      </c>
      <c r="C94" s="8" t="s">
        <v>435</v>
      </c>
      <c r="D94" s="8">
        <v>2036</v>
      </c>
      <c r="E94" s="8"/>
      <c r="F94" s="8" t="s">
        <v>437</v>
      </c>
      <c r="G94" s="8" t="s">
        <v>369</v>
      </c>
      <c r="H94" s="8" t="s">
        <v>91</v>
      </c>
      <c r="I94" s="8" t="s">
        <v>53</v>
      </c>
      <c r="J94" s="8" t="s">
        <v>49</v>
      </c>
      <c r="K94" s="8" t="s">
        <v>133</v>
      </c>
      <c r="L94" s="8" t="s">
        <v>113</v>
      </c>
      <c r="M94" s="8" t="s">
        <v>135</v>
      </c>
      <c r="N94" s="8">
        <v>20400</v>
      </c>
      <c r="O94" s="11"/>
      <c r="P94" s="8" t="s">
        <v>202</v>
      </c>
      <c r="Q94" s="11"/>
      <c r="R94" s="11">
        <v>16800</v>
      </c>
      <c r="S94" s="19" t="s">
        <v>318</v>
      </c>
      <c r="T94" s="8" t="s">
        <v>131</v>
      </c>
      <c r="U94" s="7">
        <v>45880</v>
      </c>
      <c r="V94" s="7" t="s">
        <v>139</v>
      </c>
      <c r="W94" s="7">
        <v>45869</v>
      </c>
      <c r="X94" s="8" t="s">
        <v>50</v>
      </c>
      <c r="Y94" s="8"/>
      <c r="Z94" s="8"/>
      <c r="AA94" s="8"/>
      <c r="AB94" s="8"/>
      <c r="AC94" s="8"/>
      <c r="AD94" s="8"/>
      <c r="AE94" s="7" t="s">
        <v>131</v>
      </c>
      <c r="AF94" s="6"/>
      <c r="AG94" s="6"/>
      <c r="AH94" s="6"/>
      <c r="AI94" s="6"/>
      <c r="AJ94" s="6"/>
      <c r="AK94" s="6"/>
      <c r="AL94" s="8"/>
      <c r="AM94" s="8"/>
      <c r="AN94" s="8" t="s">
        <v>131</v>
      </c>
      <c r="AO94" s="11"/>
      <c r="AP94" s="11"/>
      <c r="AQ94" s="11"/>
      <c r="AR94" s="11"/>
      <c r="AS94" s="11">
        <f>N94-R94</f>
        <v>3600</v>
      </c>
      <c r="AT94" s="11"/>
      <c r="AU94" s="11"/>
      <c r="AV94" s="11"/>
      <c r="AW94" s="11"/>
      <c r="AX94" s="8" t="s">
        <v>161</v>
      </c>
      <c r="AY94" s="8" t="s">
        <v>436</v>
      </c>
      <c r="AZ94" s="8" t="s">
        <v>438</v>
      </c>
      <c r="BA94" s="8" t="s">
        <v>131</v>
      </c>
      <c r="BB94" s="8" t="s">
        <v>92</v>
      </c>
      <c r="BC94" s="8" t="s">
        <v>113</v>
      </c>
    </row>
    <row r="95" spans="1:55" x14ac:dyDescent="0.25">
      <c r="A95" s="6">
        <v>38</v>
      </c>
      <c r="B95" s="9">
        <v>45870</v>
      </c>
      <c r="C95" s="8" t="s">
        <v>439</v>
      </c>
      <c r="D95" s="8">
        <v>2037</v>
      </c>
      <c r="E95" s="8"/>
      <c r="F95" s="8" t="s">
        <v>441</v>
      </c>
      <c r="G95" s="8" t="s">
        <v>369</v>
      </c>
      <c r="H95" s="8" t="s">
        <v>91</v>
      </c>
      <c r="I95" s="8" t="s">
        <v>53</v>
      </c>
      <c r="J95" s="8" t="s">
        <v>49</v>
      </c>
      <c r="K95" s="8" t="s">
        <v>133</v>
      </c>
      <c r="L95" s="8" t="s">
        <v>113</v>
      </c>
      <c r="M95" s="8" t="s">
        <v>135</v>
      </c>
      <c r="N95" s="8">
        <v>20400</v>
      </c>
      <c r="O95" s="11"/>
      <c r="P95" s="8" t="s">
        <v>202</v>
      </c>
      <c r="Q95" s="11"/>
      <c r="R95" s="11">
        <v>16800</v>
      </c>
      <c r="S95" s="19" t="s">
        <v>318</v>
      </c>
      <c r="T95" s="8" t="s">
        <v>131</v>
      </c>
      <c r="U95" s="7">
        <v>45876</v>
      </c>
      <c r="V95" s="7" t="s">
        <v>139</v>
      </c>
      <c r="W95" s="7">
        <v>45869</v>
      </c>
      <c r="X95" s="8" t="s">
        <v>50</v>
      </c>
      <c r="Y95" s="8"/>
      <c r="Z95" s="8"/>
      <c r="AA95" s="8"/>
      <c r="AB95" s="8"/>
      <c r="AC95" s="8"/>
      <c r="AD95" s="8"/>
      <c r="AE95" s="7" t="s">
        <v>131</v>
      </c>
      <c r="AF95" s="6"/>
      <c r="AG95" s="6"/>
      <c r="AH95" s="6"/>
      <c r="AI95" s="6"/>
      <c r="AJ95" s="6"/>
      <c r="AK95" s="6"/>
      <c r="AL95" s="8"/>
      <c r="AM95" s="8"/>
      <c r="AN95" s="8" t="s">
        <v>131</v>
      </c>
      <c r="AO95" s="11"/>
      <c r="AP95" s="11"/>
      <c r="AQ95" s="11"/>
      <c r="AR95" s="11"/>
      <c r="AS95" s="11">
        <f>N95-R95</f>
        <v>3600</v>
      </c>
      <c r="AT95" s="11"/>
      <c r="AU95" s="11"/>
      <c r="AV95" s="11"/>
      <c r="AW95" s="11"/>
      <c r="AX95" s="8" t="s">
        <v>161</v>
      </c>
      <c r="AY95" s="8" t="s">
        <v>440</v>
      </c>
      <c r="AZ95" s="8" t="s">
        <v>442</v>
      </c>
      <c r="BA95" s="8" t="s">
        <v>131</v>
      </c>
      <c r="BB95" s="8" t="s">
        <v>92</v>
      </c>
      <c r="BC95" s="8" t="s">
        <v>113</v>
      </c>
    </row>
    <row r="96" spans="1:55" x14ac:dyDescent="0.25">
      <c r="A96" s="6">
        <v>39</v>
      </c>
      <c r="B96" s="9">
        <v>45870</v>
      </c>
      <c r="C96" s="8" t="s">
        <v>443</v>
      </c>
      <c r="D96" s="8">
        <v>2042</v>
      </c>
      <c r="E96" s="8"/>
      <c r="F96" s="8" t="s">
        <v>444</v>
      </c>
      <c r="G96" s="8" t="s">
        <v>53</v>
      </c>
      <c r="H96" s="8" t="s">
        <v>446</v>
      </c>
      <c r="I96" s="8" t="s">
        <v>53</v>
      </c>
      <c r="J96" s="8" t="s">
        <v>49</v>
      </c>
      <c r="K96" s="8" t="s">
        <v>134</v>
      </c>
      <c r="L96" s="8" t="s">
        <v>114</v>
      </c>
      <c r="M96" s="8" t="s">
        <v>135</v>
      </c>
      <c r="N96" s="8">
        <v>15500</v>
      </c>
      <c r="O96" s="11"/>
      <c r="P96" s="8" t="s">
        <v>202</v>
      </c>
      <c r="Q96" s="11"/>
      <c r="R96" s="11">
        <v>13000</v>
      </c>
      <c r="S96" s="19" t="s">
        <v>171</v>
      </c>
      <c r="T96" s="8" t="s">
        <v>447</v>
      </c>
      <c r="U96" s="7">
        <v>45874</v>
      </c>
      <c r="V96" s="7" t="s">
        <v>138</v>
      </c>
      <c r="W96" s="7">
        <v>45873</v>
      </c>
      <c r="X96" s="8" t="s">
        <v>50</v>
      </c>
      <c r="Y96" s="8"/>
      <c r="Z96" s="8"/>
      <c r="AA96" s="8"/>
      <c r="AB96" s="8"/>
      <c r="AC96" s="8"/>
      <c r="AD96" s="8"/>
      <c r="AE96" s="7">
        <v>45875</v>
      </c>
      <c r="AF96" s="8">
        <v>4000</v>
      </c>
      <c r="AG96" s="8">
        <v>2300</v>
      </c>
      <c r="AH96" s="8">
        <v>2000</v>
      </c>
      <c r="AI96" s="8">
        <v>700</v>
      </c>
      <c r="AJ96" s="8">
        <v>1500</v>
      </c>
      <c r="AK96" s="8">
        <v>2000</v>
      </c>
      <c r="AL96" s="8">
        <v>3000</v>
      </c>
      <c r="AM96" s="8" t="s">
        <v>131</v>
      </c>
      <c r="AN96" s="8" t="s">
        <v>131</v>
      </c>
      <c r="AO96" s="11"/>
      <c r="AP96" s="11"/>
      <c r="AQ96" s="11"/>
      <c r="AR96" s="11"/>
      <c r="AS96" s="11">
        <f>N96-R96</f>
        <v>2500</v>
      </c>
      <c r="AT96" s="11"/>
      <c r="AU96" s="11"/>
      <c r="AV96" s="11"/>
      <c r="AW96" s="11"/>
      <c r="AX96" s="8" t="s">
        <v>164</v>
      </c>
      <c r="AY96" s="8" t="s">
        <v>131</v>
      </c>
      <c r="AZ96" s="8" t="s">
        <v>445</v>
      </c>
      <c r="BA96" s="8" t="s">
        <v>131</v>
      </c>
      <c r="BB96" s="8" t="s">
        <v>445</v>
      </c>
      <c r="BC96" s="8" t="s">
        <v>114</v>
      </c>
    </row>
    <row r="97" spans="1:55" x14ac:dyDescent="0.25">
      <c r="A97" s="6">
        <v>40</v>
      </c>
      <c r="B97" s="9">
        <v>45870</v>
      </c>
      <c r="C97" s="8" t="s">
        <v>448</v>
      </c>
      <c r="D97" s="8">
        <v>2044</v>
      </c>
      <c r="E97" s="8"/>
      <c r="F97" s="8" t="s">
        <v>449</v>
      </c>
      <c r="G97" s="8" t="s">
        <v>53</v>
      </c>
      <c r="H97" s="8" t="s">
        <v>91</v>
      </c>
      <c r="I97" s="8" t="s">
        <v>53</v>
      </c>
      <c r="J97" s="8" t="s">
        <v>49</v>
      </c>
      <c r="K97" s="8" t="s">
        <v>132</v>
      </c>
      <c r="L97" s="8" t="s">
        <v>113</v>
      </c>
      <c r="M97" s="8" t="s">
        <v>135</v>
      </c>
      <c r="N97" s="8">
        <v>18100</v>
      </c>
      <c r="O97" s="11"/>
      <c r="P97" s="8" t="s">
        <v>202</v>
      </c>
      <c r="Q97" s="11"/>
      <c r="R97" s="11">
        <v>15800</v>
      </c>
      <c r="S97" s="19" t="s">
        <v>318</v>
      </c>
      <c r="T97" s="8" t="s">
        <v>131</v>
      </c>
      <c r="U97" s="7">
        <v>45875</v>
      </c>
      <c r="V97" s="7" t="s">
        <v>139</v>
      </c>
      <c r="W97" s="7">
        <v>45870</v>
      </c>
      <c r="X97" s="8" t="s">
        <v>50</v>
      </c>
      <c r="Y97" s="8"/>
      <c r="Z97" s="8"/>
      <c r="AA97" s="8"/>
      <c r="AB97" s="8"/>
      <c r="AC97" s="8"/>
      <c r="AD97" s="8"/>
      <c r="AE97" s="7" t="s">
        <v>131</v>
      </c>
      <c r="AF97" s="6"/>
      <c r="AG97" s="6"/>
      <c r="AH97" s="6"/>
      <c r="AI97" s="8"/>
      <c r="AJ97" s="8"/>
      <c r="AK97" s="6"/>
      <c r="AL97" s="8"/>
      <c r="AM97" s="8"/>
      <c r="AN97" s="8" t="s">
        <v>131</v>
      </c>
      <c r="AO97" s="11"/>
      <c r="AP97" s="11"/>
      <c r="AQ97" s="11"/>
      <c r="AR97" s="11"/>
      <c r="AS97" s="11">
        <f>N97-R97</f>
        <v>2300</v>
      </c>
      <c r="AT97" s="11"/>
      <c r="AU97" s="11"/>
      <c r="AV97" s="11"/>
      <c r="AW97" s="11"/>
      <c r="AX97" s="8" t="s">
        <v>161</v>
      </c>
      <c r="AY97" s="8" t="s">
        <v>131</v>
      </c>
      <c r="AZ97" s="8" t="s">
        <v>445</v>
      </c>
      <c r="BA97" s="8" t="s">
        <v>131</v>
      </c>
      <c r="BB97" s="8" t="s">
        <v>92</v>
      </c>
      <c r="BC97" s="8" t="s">
        <v>113</v>
      </c>
    </row>
    <row r="98" spans="1:55" x14ac:dyDescent="0.25">
      <c r="A98" s="6">
        <v>41</v>
      </c>
      <c r="B98" s="9">
        <v>45870</v>
      </c>
      <c r="C98" s="8" t="s">
        <v>450</v>
      </c>
      <c r="D98" s="8">
        <v>2045</v>
      </c>
      <c r="E98" s="8"/>
      <c r="F98" s="8" t="s">
        <v>451</v>
      </c>
      <c r="G98" s="8" t="s">
        <v>53</v>
      </c>
      <c r="H98" s="8" t="s">
        <v>91</v>
      </c>
      <c r="I98" s="8" t="s">
        <v>53</v>
      </c>
      <c r="J98" s="8" t="s">
        <v>49</v>
      </c>
      <c r="K98" s="8" t="s">
        <v>132</v>
      </c>
      <c r="L98" s="8" t="s">
        <v>113</v>
      </c>
      <c r="M98" s="8" t="s">
        <v>135</v>
      </c>
      <c r="N98" s="8">
        <v>18100</v>
      </c>
      <c r="O98" s="11"/>
      <c r="P98" s="8" t="s">
        <v>202</v>
      </c>
      <c r="Q98" s="11"/>
      <c r="R98" s="11">
        <v>15800</v>
      </c>
      <c r="S98" s="19" t="s">
        <v>318</v>
      </c>
      <c r="T98" s="8" t="s">
        <v>131</v>
      </c>
      <c r="U98" s="7">
        <v>45875</v>
      </c>
      <c r="V98" s="7" t="s">
        <v>139</v>
      </c>
      <c r="W98" s="7">
        <v>45870</v>
      </c>
      <c r="X98" s="8" t="s">
        <v>50</v>
      </c>
      <c r="Y98" s="8"/>
      <c r="Z98" s="8"/>
      <c r="AA98" s="8"/>
      <c r="AB98" s="8"/>
      <c r="AC98" s="8"/>
      <c r="AD98" s="8"/>
      <c r="AE98" s="7" t="s">
        <v>131</v>
      </c>
      <c r="AF98" s="6"/>
      <c r="AG98" s="6"/>
      <c r="AH98" s="6"/>
      <c r="AI98" s="8"/>
      <c r="AJ98" s="8"/>
      <c r="AK98" s="6"/>
      <c r="AL98" s="8"/>
      <c r="AM98" s="8"/>
      <c r="AN98" s="8" t="s">
        <v>131</v>
      </c>
      <c r="AO98" s="11"/>
      <c r="AP98" s="11"/>
      <c r="AQ98" s="11"/>
      <c r="AR98" s="11"/>
      <c r="AS98" s="11">
        <f>N98-R98</f>
        <v>2300</v>
      </c>
      <c r="AT98" s="11"/>
      <c r="AU98" s="11"/>
      <c r="AV98" s="11"/>
      <c r="AW98" s="11"/>
      <c r="AX98" s="8" t="s">
        <v>161</v>
      </c>
      <c r="AY98" s="8" t="s">
        <v>131</v>
      </c>
      <c r="AZ98" s="8" t="s">
        <v>452</v>
      </c>
      <c r="BA98" s="8" t="s">
        <v>131</v>
      </c>
      <c r="BB98" s="8" t="s">
        <v>92</v>
      </c>
      <c r="BC98" s="8" t="s">
        <v>113</v>
      </c>
    </row>
    <row r="99" spans="1:55" x14ac:dyDescent="0.25">
      <c r="A99" s="6">
        <v>42</v>
      </c>
      <c r="B99" s="9">
        <v>45870</v>
      </c>
      <c r="C99" s="8" t="s">
        <v>453</v>
      </c>
      <c r="D99" s="8">
        <v>2047</v>
      </c>
      <c r="E99" s="8"/>
      <c r="F99" s="8" t="s">
        <v>455</v>
      </c>
      <c r="G99" s="8" t="s">
        <v>77</v>
      </c>
      <c r="H99" s="8" t="s">
        <v>91</v>
      </c>
      <c r="I99" s="8" t="s">
        <v>53</v>
      </c>
      <c r="J99" s="8" t="s">
        <v>49</v>
      </c>
      <c r="K99" s="8" t="s">
        <v>133</v>
      </c>
      <c r="L99" s="8" t="s">
        <v>113</v>
      </c>
      <c r="M99" s="8" t="s">
        <v>135</v>
      </c>
      <c r="N99" s="8">
        <v>20400</v>
      </c>
      <c r="O99" s="11"/>
      <c r="P99" s="8" t="s">
        <v>202</v>
      </c>
      <c r="Q99" s="11"/>
      <c r="R99" s="11">
        <v>19000</v>
      </c>
      <c r="S99" s="19" t="s">
        <v>318</v>
      </c>
      <c r="T99" s="8" t="s">
        <v>131</v>
      </c>
      <c r="U99" s="7">
        <v>45876</v>
      </c>
      <c r="V99" s="7" t="s">
        <v>139</v>
      </c>
      <c r="W99" s="7">
        <v>45873</v>
      </c>
      <c r="X99" s="8" t="s">
        <v>50</v>
      </c>
      <c r="Y99" s="8"/>
      <c r="Z99" s="8"/>
      <c r="AA99" s="8"/>
      <c r="AB99" s="8"/>
      <c r="AC99" s="8"/>
      <c r="AD99" s="8"/>
      <c r="AE99" s="7" t="s">
        <v>131</v>
      </c>
      <c r="AF99" s="6"/>
      <c r="AG99" s="6"/>
      <c r="AH99" s="6"/>
      <c r="AI99" s="6"/>
      <c r="AJ99" s="6"/>
      <c r="AK99" s="6"/>
      <c r="AL99" s="8"/>
      <c r="AM99" s="8"/>
      <c r="AN99" s="8" t="s">
        <v>131</v>
      </c>
      <c r="AO99" s="11"/>
      <c r="AP99" s="11"/>
      <c r="AQ99" s="11"/>
      <c r="AR99" s="11"/>
      <c r="AS99" s="11">
        <f>N99-R99</f>
        <v>1400</v>
      </c>
      <c r="AT99" s="11"/>
      <c r="AU99" s="11"/>
      <c r="AV99" s="11"/>
      <c r="AW99" s="11"/>
      <c r="AX99" s="8" t="s">
        <v>161</v>
      </c>
      <c r="AY99" s="8" t="s">
        <v>454</v>
      </c>
      <c r="AZ99" s="8" t="s">
        <v>456</v>
      </c>
      <c r="BA99" s="8" t="s">
        <v>131</v>
      </c>
      <c r="BB99" s="8" t="s">
        <v>92</v>
      </c>
      <c r="BC99" s="8" t="s">
        <v>113</v>
      </c>
    </row>
    <row r="100" spans="1:55" x14ac:dyDescent="0.25">
      <c r="A100" s="6">
        <v>43</v>
      </c>
      <c r="B100" s="9">
        <v>45870</v>
      </c>
      <c r="C100" s="8" t="s">
        <v>457</v>
      </c>
      <c r="D100" s="8">
        <v>2056</v>
      </c>
      <c r="E100" s="8"/>
      <c r="F100" s="8" t="s">
        <v>459</v>
      </c>
      <c r="G100" s="8" t="s">
        <v>53</v>
      </c>
      <c r="H100" s="8" t="s">
        <v>91</v>
      </c>
      <c r="I100" s="8" t="s">
        <v>53</v>
      </c>
      <c r="J100" s="8" t="s">
        <v>49</v>
      </c>
      <c r="K100" s="8" t="s">
        <v>132</v>
      </c>
      <c r="L100" s="8" t="s">
        <v>113</v>
      </c>
      <c r="M100" s="8" t="s">
        <v>135</v>
      </c>
      <c r="N100" s="8">
        <v>18100</v>
      </c>
      <c r="O100" s="11"/>
      <c r="P100" s="8" t="s">
        <v>202</v>
      </c>
      <c r="Q100" s="11"/>
      <c r="R100" s="11">
        <v>15800</v>
      </c>
      <c r="S100" s="19" t="s">
        <v>171</v>
      </c>
      <c r="T100" s="8">
        <v>0</v>
      </c>
      <c r="U100" s="7">
        <v>45881</v>
      </c>
      <c r="V100" s="7" t="s">
        <v>139</v>
      </c>
      <c r="W100" s="7">
        <v>45875</v>
      </c>
      <c r="X100" s="8" t="s">
        <v>50</v>
      </c>
      <c r="Y100" s="8"/>
      <c r="Z100" s="8"/>
      <c r="AA100" s="8"/>
      <c r="AB100" s="8"/>
      <c r="AC100" s="8"/>
      <c r="AD100" s="8"/>
      <c r="AE100" s="7" t="s">
        <v>131</v>
      </c>
      <c r="AF100" s="6">
        <v>5400</v>
      </c>
      <c r="AG100" s="6">
        <v>6500</v>
      </c>
      <c r="AH100" s="6">
        <v>2000</v>
      </c>
      <c r="AI100" s="8">
        <v>700</v>
      </c>
      <c r="AJ100" s="8">
        <v>1500</v>
      </c>
      <c r="AK100" s="6">
        <v>2000</v>
      </c>
      <c r="AL100" s="8" t="s">
        <v>131</v>
      </c>
      <c r="AM100" s="8" t="s">
        <v>131</v>
      </c>
      <c r="AN100" s="8" t="s">
        <v>131</v>
      </c>
      <c r="AO100" s="11"/>
      <c r="AP100" s="11"/>
      <c r="AQ100" s="11"/>
      <c r="AR100" s="11"/>
      <c r="AS100" s="11">
        <f>N100-R100</f>
        <v>2300</v>
      </c>
      <c r="AT100" s="11"/>
      <c r="AU100" s="11"/>
      <c r="AV100" s="11"/>
      <c r="AW100" s="11"/>
      <c r="AX100" s="8" t="s">
        <v>161</v>
      </c>
      <c r="AY100" s="8" t="s">
        <v>458</v>
      </c>
      <c r="AZ100" s="8" t="s">
        <v>460</v>
      </c>
      <c r="BA100" s="8" t="s">
        <v>131</v>
      </c>
      <c r="BB100" s="8" t="s">
        <v>92</v>
      </c>
      <c r="BC100" s="8" t="s">
        <v>113</v>
      </c>
    </row>
    <row r="101" spans="1:55" x14ac:dyDescent="0.25">
      <c r="A101" s="6">
        <v>44</v>
      </c>
      <c r="B101" s="9">
        <v>45870</v>
      </c>
      <c r="C101" s="8" t="s">
        <v>461</v>
      </c>
      <c r="D101" s="8">
        <v>2065</v>
      </c>
      <c r="E101" s="8"/>
      <c r="F101" s="8" t="s">
        <v>462</v>
      </c>
      <c r="G101" s="8" t="s">
        <v>464</v>
      </c>
      <c r="H101" s="8" t="s">
        <v>78</v>
      </c>
      <c r="I101" s="8" t="s">
        <v>56</v>
      </c>
      <c r="J101" s="8" t="s">
        <v>49</v>
      </c>
      <c r="K101" s="8" t="s">
        <v>133</v>
      </c>
      <c r="L101" s="8" t="s">
        <v>113</v>
      </c>
      <c r="M101" s="8" t="s">
        <v>135</v>
      </c>
      <c r="N101" s="8">
        <v>20400</v>
      </c>
      <c r="O101" s="11"/>
      <c r="P101" s="8" t="s">
        <v>202</v>
      </c>
      <c r="Q101" s="11"/>
      <c r="R101" s="11">
        <v>18000</v>
      </c>
      <c r="S101" s="19" t="s">
        <v>171</v>
      </c>
      <c r="T101" s="8">
        <v>0</v>
      </c>
      <c r="U101" s="7">
        <v>45883</v>
      </c>
      <c r="V101" s="7" t="s">
        <v>465</v>
      </c>
      <c r="W101" s="7">
        <v>45880</v>
      </c>
      <c r="X101" s="8" t="s">
        <v>50</v>
      </c>
      <c r="Y101" s="8"/>
      <c r="Z101" s="8"/>
      <c r="AA101" s="8"/>
      <c r="AB101" s="8"/>
      <c r="AC101" s="8"/>
      <c r="AD101" s="8"/>
      <c r="AE101" s="7">
        <v>45883</v>
      </c>
      <c r="AF101" s="6">
        <v>7700</v>
      </c>
      <c r="AG101" s="6">
        <v>6500</v>
      </c>
      <c r="AH101" s="6">
        <v>2000</v>
      </c>
      <c r="AI101" s="6">
        <v>700</v>
      </c>
      <c r="AJ101" s="6">
        <v>1500</v>
      </c>
      <c r="AK101" s="6">
        <v>2000</v>
      </c>
      <c r="AL101" s="8" t="s">
        <v>131</v>
      </c>
      <c r="AM101" s="8" t="s">
        <v>131</v>
      </c>
      <c r="AN101" s="8" t="s">
        <v>131</v>
      </c>
      <c r="AO101" s="11"/>
      <c r="AP101" s="11"/>
      <c r="AQ101" s="11"/>
      <c r="AR101" s="11"/>
      <c r="AS101" s="11">
        <f>N101-R101</f>
        <v>2400</v>
      </c>
      <c r="AT101" s="11"/>
      <c r="AU101" s="11"/>
      <c r="AV101" s="11"/>
      <c r="AW101" s="11"/>
      <c r="AX101" s="8" t="s">
        <v>161</v>
      </c>
      <c r="AY101" s="8">
        <v>61969903</v>
      </c>
      <c r="AZ101" s="8" t="s">
        <v>463</v>
      </c>
      <c r="BA101" s="8" t="s">
        <v>131</v>
      </c>
      <c r="BB101" s="8" t="s">
        <v>93</v>
      </c>
      <c r="BC101" s="8" t="s">
        <v>113</v>
      </c>
    </row>
    <row r="102" spans="1:55" x14ac:dyDescent="0.25">
      <c r="A102" s="6">
        <v>45</v>
      </c>
      <c r="B102" s="9">
        <v>45870</v>
      </c>
      <c r="C102" s="8" t="s">
        <v>466</v>
      </c>
      <c r="D102" s="8">
        <v>2072</v>
      </c>
      <c r="E102" s="8"/>
      <c r="F102" s="8" t="s">
        <v>468</v>
      </c>
      <c r="G102" s="8" t="s">
        <v>53</v>
      </c>
      <c r="H102" s="8" t="s">
        <v>91</v>
      </c>
      <c r="I102" s="8" t="s">
        <v>53</v>
      </c>
      <c r="J102" s="8" t="s">
        <v>49</v>
      </c>
      <c r="K102" s="8" t="s">
        <v>134</v>
      </c>
      <c r="L102" s="8" t="s">
        <v>113</v>
      </c>
      <c r="M102" s="8" t="s">
        <v>137</v>
      </c>
      <c r="N102" s="8">
        <v>7800</v>
      </c>
      <c r="O102" s="11"/>
      <c r="P102" s="8" t="s">
        <v>202</v>
      </c>
      <c r="Q102" s="11"/>
      <c r="R102" s="11">
        <v>6000</v>
      </c>
      <c r="S102" s="19" t="s">
        <v>318</v>
      </c>
      <c r="T102" s="8">
        <v>0</v>
      </c>
      <c r="U102" s="7">
        <v>45885</v>
      </c>
      <c r="V102" s="7" t="s">
        <v>139</v>
      </c>
      <c r="W102" s="7">
        <v>45882</v>
      </c>
      <c r="X102" s="8" t="s">
        <v>50</v>
      </c>
      <c r="Y102" s="8"/>
      <c r="Z102" s="8"/>
      <c r="AA102" s="8"/>
      <c r="AB102" s="8"/>
      <c r="AC102" s="8"/>
      <c r="AD102" s="8"/>
      <c r="AE102" s="7" t="s">
        <v>131</v>
      </c>
      <c r="AF102" s="8"/>
      <c r="AG102" s="8"/>
      <c r="AH102" s="8"/>
      <c r="AI102" s="8"/>
      <c r="AJ102" s="8"/>
      <c r="AK102" s="8"/>
      <c r="AL102" s="8"/>
      <c r="AM102" s="8"/>
      <c r="AN102" s="8" t="s">
        <v>131</v>
      </c>
      <c r="AO102" s="11"/>
      <c r="AP102" s="11"/>
      <c r="AQ102" s="11"/>
      <c r="AR102" s="11"/>
      <c r="AS102" s="11">
        <f>N102-R102</f>
        <v>1800</v>
      </c>
      <c r="AT102" s="11"/>
      <c r="AU102" s="11"/>
      <c r="AV102" s="11"/>
      <c r="AW102" s="11"/>
      <c r="AX102" s="8" t="s">
        <v>161</v>
      </c>
      <c r="AY102" s="8" t="s">
        <v>467</v>
      </c>
      <c r="AZ102" s="8" t="s">
        <v>71</v>
      </c>
      <c r="BA102" s="8" t="s">
        <v>131</v>
      </c>
      <c r="BB102" s="8" t="s">
        <v>92</v>
      </c>
      <c r="BC102" s="8" t="s">
        <v>113</v>
      </c>
    </row>
    <row r="103" spans="1:55" x14ac:dyDescent="0.25">
      <c r="A103" s="6">
        <v>46</v>
      </c>
      <c r="B103" s="9">
        <v>45870</v>
      </c>
      <c r="C103" s="8" t="s">
        <v>469</v>
      </c>
      <c r="D103" s="8">
        <v>2073</v>
      </c>
      <c r="E103" s="8"/>
      <c r="F103" s="8" t="s">
        <v>471</v>
      </c>
      <c r="G103" s="8" t="s">
        <v>53</v>
      </c>
      <c r="H103" s="8" t="s">
        <v>91</v>
      </c>
      <c r="I103" s="8" t="s">
        <v>53</v>
      </c>
      <c r="J103" s="8" t="s">
        <v>49</v>
      </c>
      <c r="K103" s="8" t="s">
        <v>134</v>
      </c>
      <c r="L103" s="8" t="s">
        <v>113</v>
      </c>
      <c r="M103" s="8" t="s">
        <v>137</v>
      </c>
      <c r="N103" s="8">
        <v>7800</v>
      </c>
      <c r="O103" s="11"/>
      <c r="P103" s="8" t="s">
        <v>202</v>
      </c>
      <c r="Q103" s="11"/>
      <c r="R103" s="11">
        <v>6000</v>
      </c>
      <c r="S103" s="19" t="s">
        <v>318</v>
      </c>
      <c r="T103" s="8">
        <v>0</v>
      </c>
      <c r="U103" s="7">
        <v>45885</v>
      </c>
      <c r="V103" s="7" t="s">
        <v>139</v>
      </c>
      <c r="W103" s="7">
        <v>45882</v>
      </c>
      <c r="X103" s="8" t="s">
        <v>50</v>
      </c>
      <c r="Y103" s="8"/>
      <c r="Z103" s="8"/>
      <c r="AA103" s="8"/>
      <c r="AB103" s="8"/>
      <c r="AC103" s="8"/>
      <c r="AD103" s="8"/>
      <c r="AE103" s="7" t="s">
        <v>131</v>
      </c>
      <c r="AF103" s="8"/>
      <c r="AG103" s="8"/>
      <c r="AH103" s="8"/>
      <c r="AI103" s="8"/>
      <c r="AJ103" s="8"/>
      <c r="AK103" s="8"/>
      <c r="AL103" s="8"/>
      <c r="AM103" s="8"/>
      <c r="AN103" s="8" t="s">
        <v>131</v>
      </c>
      <c r="AO103" s="11"/>
      <c r="AP103" s="11"/>
      <c r="AQ103" s="11"/>
      <c r="AR103" s="11"/>
      <c r="AS103" s="11">
        <f>N103-R103</f>
        <v>1800</v>
      </c>
      <c r="AT103" s="11"/>
      <c r="AU103" s="11"/>
      <c r="AV103" s="11"/>
      <c r="AW103" s="11"/>
      <c r="AX103" s="8" t="s">
        <v>161</v>
      </c>
      <c r="AY103" s="8" t="s">
        <v>470</v>
      </c>
      <c r="AZ103" s="8" t="s">
        <v>71</v>
      </c>
      <c r="BA103" s="8" t="s">
        <v>131</v>
      </c>
      <c r="BB103" s="8" t="s">
        <v>92</v>
      </c>
      <c r="BC103" s="8" t="s">
        <v>113</v>
      </c>
    </row>
    <row r="104" spans="1:55" x14ac:dyDescent="0.25">
      <c r="A104" s="6">
        <v>47</v>
      </c>
      <c r="B104" s="9">
        <v>45870</v>
      </c>
      <c r="C104" s="8" t="s">
        <v>472</v>
      </c>
      <c r="D104" s="8">
        <v>2074</v>
      </c>
      <c r="E104" s="8"/>
      <c r="F104" s="8" t="s">
        <v>474</v>
      </c>
      <c r="G104" s="8" t="s">
        <v>53</v>
      </c>
      <c r="H104" s="8" t="s">
        <v>91</v>
      </c>
      <c r="I104" s="8" t="s">
        <v>53</v>
      </c>
      <c r="J104" s="8" t="s">
        <v>49</v>
      </c>
      <c r="K104" s="8" t="s">
        <v>134</v>
      </c>
      <c r="L104" s="8" t="s">
        <v>113</v>
      </c>
      <c r="M104" s="8" t="s">
        <v>137</v>
      </c>
      <c r="N104" s="8">
        <v>7800</v>
      </c>
      <c r="O104" s="11"/>
      <c r="P104" s="8" t="s">
        <v>202</v>
      </c>
      <c r="Q104" s="11"/>
      <c r="R104" s="11">
        <v>6000</v>
      </c>
      <c r="S104" s="19" t="s">
        <v>318</v>
      </c>
      <c r="T104" s="8">
        <v>0</v>
      </c>
      <c r="U104" s="7">
        <v>45885</v>
      </c>
      <c r="V104" s="7" t="s">
        <v>139</v>
      </c>
      <c r="W104" s="7">
        <v>45882</v>
      </c>
      <c r="X104" s="8" t="s">
        <v>50</v>
      </c>
      <c r="Y104" s="8"/>
      <c r="Z104" s="8"/>
      <c r="AA104" s="8"/>
      <c r="AB104" s="8"/>
      <c r="AC104" s="8"/>
      <c r="AD104" s="8"/>
      <c r="AE104" s="7" t="s">
        <v>131</v>
      </c>
      <c r="AF104" s="8"/>
      <c r="AG104" s="8"/>
      <c r="AH104" s="8"/>
      <c r="AI104" s="8"/>
      <c r="AJ104" s="8"/>
      <c r="AK104" s="8"/>
      <c r="AL104" s="8"/>
      <c r="AM104" s="8"/>
      <c r="AN104" s="8" t="s">
        <v>131</v>
      </c>
      <c r="AO104" s="11"/>
      <c r="AP104" s="11"/>
      <c r="AQ104" s="11"/>
      <c r="AR104" s="11"/>
      <c r="AS104" s="11">
        <f>N104-R104</f>
        <v>1800</v>
      </c>
      <c r="AT104" s="11"/>
      <c r="AU104" s="11"/>
      <c r="AV104" s="11"/>
      <c r="AW104" s="11"/>
      <c r="AX104" s="8" t="s">
        <v>161</v>
      </c>
      <c r="AY104" s="8" t="s">
        <v>473</v>
      </c>
      <c r="AZ104" s="8" t="s">
        <v>71</v>
      </c>
      <c r="BA104" s="8" t="s">
        <v>131</v>
      </c>
      <c r="BB104" s="8" t="s">
        <v>92</v>
      </c>
      <c r="BC104" s="8" t="s">
        <v>113</v>
      </c>
    </row>
    <row r="105" spans="1:55" x14ac:dyDescent="0.25">
      <c r="A105" s="6">
        <v>48</v>
      </c>
      <c r="B105" s="9">
        <v>45870</v>
      </c>
      <c r="C105" s="8" t="s">
        <v>461</v>
      </c>
      <c r="D105" s="8">
        <v>2082</v>
      </c>
      <c r="E105" s="8"/>
      <c r="F105" s="8" t="s">
        <v>462</v>
      </c>
      <c r="G105" s="8" t="s">
        <v>464</v>
      </c>
      <c r="H105" s="8" t="s">
        <v>476</v>
      </c>
      <c r="I105" s="8" t="s">
        <v>464</v>
      </c>
      <c r="J105" s="8" t="s">
        <v>49</v>
      </c>
      <c r="K105" s="8" t="s">
        <v>134</v>
      </c>
      <c r="L105" s="8" t="s">
        <v>475</v>
      </c>
      <c r="M105" s="8" t="s">
        <v>135</v>
      </c>
      <c r="N105" s="8">
        <v>6000</v>
      </c>
      <c r="O105" s="11"/>
      <c r="P105" s="8" t="s">
        <v>202</v>
      </c>
      <c r="Q105" s="11"/>
      <c r="R105" s="16">
        <v>7000</v>
      </c>
      <c r="S105" s="19" t="s">
        <v>171</v>
      </c>
      <c r="T105" s="8">
        <v>0</v>
      </c>
      <c r="U105" s="7">
        <v>45883</v>
      </c>
      <c r="V105" s="7" t="s">
        <v>139</v>
      </c>
      <c r="W105" s="7">
        <v>45883</v>
      </c>
      <c r="X105" s="8" t="s">
        <v>50</v>
      </c>
      <c r="Y105" s="8"/>
      <c r="Z105" s="8"/>
      <c r="AA105" s="8"/>
      <c r="AB105" s="8"/>
      <c r="AC105" s="8"/>
      <c r="AD105" s="8"/>
      <c r="AE105" s="7" t="s">
        <v>131</v>
      </c>
      <c r="AF105" s="6">
        <v>4000</v>
      </c>
      <c r="AG105" s="8"/>
      <c r="AH105" s="6">
        <v>2000</v>
      </c>
      <c r="AI105" s="8"/>
      <c r="AJ105" s="8"/>
      <c r="AK105" s="8"/>
      <c r="AL105" s="8" t="s">
        <v>131</v>
      </c>
      <c r="AM105" s="8" t="s">
        <v>131</v>
      </c>
      <c r="AN105" s="8" t="s">
        <v>131</v>
      </c>
      <c r="AO105" s="11"/>
      <c r="AP105" s="11"/>
      <c r="AQ105" s="11"/>
      <c r="AR105" s="11"/>
      <c r="AS105" s="11">
        <f>N105-R105</f>
        <v>-1000</v>
      </c>
      <c r="AT105" s="11"/>
      <c r="AU105" s="11"/>
      <c r="AV105" s="11"/>
      <c r="AW105" s="11"/>
      <c r="AX105" s="8" t="s">
        <v>164</v>
      </c>
      <c r="AY105" s="8">
        <v>61969903</v>
      </c>
      <c r="AZ105" s="8" t="s">
        <v>463</v>
      </c>
      <c r="BA105" s="8" t="s">
        <v>131</v>
      </c>
      <c r="BB105" s="8" t="s">
        <v>477</v>
      </c>
      <c r="BC105" s="8" t="s">
        <v>475</v>
      </c>
    </row>
    <row r="106" spans="1:55" x14ac:dyDescent="0.25">
      <c r="A106" s="6">
        <v>49</v>
      </c>
      <c r="B106" s="9">
        <v>45870</v>
      </c>
      <c r="C106" s="8" t="s">
        <v>478</v>
      </c>
      <c r="D106" s="8">
        <v>2060</v>
      </c>
      <c r="E106" s="8"/>
      <c r="F106" s="8" t="s">
        <v>480</v>
      </c>
      <c r="G106" s="8" t="s">
        <v>369</v>
      </c>
      <c r="H106" s="8" t="s">
        <v>91</v>
      </c>
      <c r="I106" s="8" t="s">
        <v>92</v>
      </c>
      <c r="J106" s="8" t="s">
        <v>49</v>
      </c>
      <c r="K106" s="8" t="s">
        <v>133</v>
      </c>
      <c r="L106" s="8" t="s">
        <v>113</v>
      </c>
      <c r="M106" s="8" t="s">
        <v>135</v>
      </c>
      <c r="N106" s="8">
        <v>20400</v>
      </c>
      <c r="O106" s="11"/>
      <c r="P106" s="8" t="s">
        <v>202</v>
      </c>
      <c r="Q106" s="11"/>
      <c r="R106" s="11">
        <v>16800</v>
      </c>
      <c r="S106" s="19" t="s">
        <v>171</v>
      </c>
      <c r="T106" s="8">
        <v>0</v>
      </c>
      <c r="U106" s="7">
        <v>45883</v>
      </c>
      <c r="V106" s="7" t="s">
        <v>139</v>
      </c>
      <c r="W106" s="7">
        <v>45883</v>
      </c>
      <c r="X106" s="8" t="s">
        <v>50</v>
      </c>
      <c r="Y106" s="8"/>
      <c r="Z106" s="8"/>
      <c r="AA106" s="8"/>
      <c r="AB106" s="8"/>
      <c r="AC106" s="8"/>
      <c r="AD106" s="8"/>
      <c r="AE106" s="7" t="s">
        <v>131</v>
      </c>
      <c r="AF106" s="6">
        <v>7700</v>
      </c>
      <c r="AG106" s="6">
        <v>6500</v>
      </c>
      <c r="AH106" s="6">
        <v>2000</v>
      </c>
      <c r="AI106" s="6">
        <v>700</v>
      </c>
      <c r="AJ106" s="6">
        <v>1500</v>
      </c>
      <c r="AK106" s="6">
        <v>2000</v>
      </c>
      <c r="AL106" s="8" t="s">
        <v>131</v>
      </c>
      <c r="AM106" s="8" t="s">
        <v>131</v>
      </c>
      <c r="AN106" s="8" t="s">
        <v>131</v>
      </c>
      <c r="AO106" s="11"/>
      <c r="AP106" s="11"/>
      <c r="AQ106" s="11"/>
      <c r="AR106" s="11"/>
      <c r="AS106" s="11">
        <f>N106-R106</f>
        <v>3600</v>
      </c>
      <c r="AT106" s="11"/>
      <c r="AU106" s="11"/>
      <c r="AV106" s="11"/>
      <c r="AW106" s="11"/>
      <c r="AX106" s="8" t="s">
        <v>161</v>
      </c>
      <c r="AY106" s="8" t="s">
        <v>479</v>
      </c>
      <c r="AZ106" s="8" t="s">
        <v>369</v>
      </c>
      <c r="BA106" s="8" t="s">
        <v>131</v>
      </c>
      <c r="BB106" s="8" t="s">
        <v>53</v>
      </c>
      <c r="BC106" s="8" t="s">
        <v>113</v>
      </c>
    </row>
    <row r="107" spans="1:55" x14ac:dyDescent="0.25">
      <c r="A107" s="22">
        <v>50</v>
      </c>
      <c r="B107" s="25">
        <v>45901</v>
      </c>
      <c r="C107" s="8" t="s">
        <v>481</v>
      </c>
      <c r="D107" s="8">
        <v>1731</v>
      </c>
      <c r="E107" s="22"/>
      <c r="F107" s="8" t="s">
        <v>482</v>
      </c>
      <c r="G107" s="8" t="s">
        <v>364</v>
      </c>
      <c r="H107" s="8" t="s">
        <v>78</v>
      </c>
      <c r="I107" s="8" t="s">
        <v>56</v>
      </c>
      <c r="J107" s="22" t="s">
        <v>49</v>
      </c>
      <c r="K107" s="8" t="s">
        <v>133</v>
      </c>
      <c r="L107" s="8" t="s">
        <v>113</v>
      </c>
      <c r="M107" s="8" t="s">
        <v>135</v>
      </c>
      <c r="N107" s="24">
        <v>21600</v>
      </c>
      <c r="O107" s="14">
        <v>0</v>
      </c>
      <c r="P107" s="14">
        <v>0</v>
      </c>
      <c r="Q107" s="26">
        <v>21600</v>
      </c>
      <c r="R107" s="11">
        <v>21000</v>
      </c>
      <c r="S107" s="15" t="s">
        <v>171</v>
      </c>
      <c r="T107" s="7" t="s">
        <v>323</v>
      </c>
      <c r="U107" s="7">
        <v>45891</v>
      </c>
      <c r="V107" s="7" t="s">
        <v>202</v>
      </c>
      <c r="W107" s="7">
        <v>45796</v>
      </c>
      <c r="X107" s="22" t="s">
        <v>50</v>
      </c>
      <c r="Y107" s="22"/>
      <c r="Z107" s="8"/>
      <c r="AA107" s="8"/>
      <c r="AB107" s="8"/>
      <c r="AC107" s="8"/>
      <c r="AD107" s="8"/>
      <c r="AE107" s="7">
        <v>45897</v>
      </c>
      <c r="AF107" s="23">
        <v>7700</v>
      </c>
      <c r="AG107" s="23">
        <v>6500</v>
      </c>
      <c r="AH107" s="23">
        <v>2000</v>
      </c>
      <c r="AI107" s="23">
        <v>700</v>
      </c>
      <c r="AJ107" s="23">
        <v>1500</v>
      </c>
      <c r="AK107" s="23">
        <v>2000</v>
      </c>
      <c r="AL107" s="23" t="s">
        <v>131</v>
      </c>
      <c r="AM107" s="23">
        <v>1200</v>
      </c>
      <c r="AN107" s="24" t="s">
        <v>131</v>
      </c>
      <c r="AO107" s="11"/>
      <c r="AP107" s="14" t="s">
        <v>227</v>
      </c>
      <c r="AQ107" s="11"/>
      <c r="AR107" s="11"/>
      <c r="AS107" s="11">
        <f>N107-R107</f>
        <v>600</v>
      </c>
      <c r="AT107" s="11"/>
      <c r="AU107" s="11"/>
      <c r="AV107" s="11"/>
      <c r="AW107" s="11"/>
      <c r="AX107" s="22" t="s">
        <v>131</v>
      </c>
      <c r="AY107" s="8">
        <v>46210770</v>
      </c>
      <c r="AZ107" s="8" t="s">
        <v>483</v>
      </c>
      <c r="BA107" s="8" t="s">
        <v>131</v>
      </c>
      <c r="BB107" s="8" t="s">
        <v>93</v>
      </c>
      <c r="BC107" s="8" t="s">
        <v>113</v>
      </c>
    </row>
    <row r="108" spans="1:55" x14ac:dyDescent="0.25">
      <c r="A108" s="22">
        <v>51</v>
      </c>
      <c r="B108" s="25">
        <v>45901</v>
      </c>
      <c r="C108" s="8" t="s">
        <v>484</v>
      </c>
      <c r="D108" s="8">
        <v>1893</v>
      </c>
      <c r="E108" s="22"/>
      <c r="F108" s="8" t="s">
        <v>486</v>
      </c>
      <c r="G108" s="8" t="s">
        <v>464</v>
      </c>
      <c r="H108" s="8" t="s">
        <v>78</v>
      </c>
      <c r="I108" s="8" t="s">
        <v>56</v>
      </c>
      <c r="J108" s="22" t="s">
        <v>49</v>
      </c>
      <c r="K108" s="8" t="s">
        <v>133</v>
      </c>
      <c r="L108" s="8" t="s">
        <v>113</v>
      </c>
      <c r="M108" s="8" t="s">
        <v>135</v>
      </c>
      <c r="N108" s="24">
        <v>20400</v>
      </c>
      <c r="O108" s="14">
        <v>0</v>
      </c>
      <c r="P108" s="14">
        <v>0</v>
      </c>
      <c r="Q108" s="26">
        <v>20400</v>
      </c>
      <c r="R108" s="11">
        <f>VLOOKUP(D108,[1]Sheet1!$B$1:$AJ$423,35,0)</f>
        <v>17000</v>
      </c>
      <c r="S108" s="15" t="s">
        <v>171</v>
      </c>
      <c r="T108" s="7" t="s">
        <v>131</v>
      </c>
      <c r="U108" s="7">
        <v>45892</v>
      </c>
      <c r="V108" s="7" t="s">
        <v>202</v>
      </c>
      <c r="W108" s="7">
        <v>45835</v>
      </c>
      <c r="X108" s="22" t="s">
        <v>50</v>
      </c>
      <c r="Y108" s="22"/>
      <c r="Z108" s="8"/>
      <c r="AA108" s="8"/>
      <c r="AB108" s="8"/>
      <c r="AC108" s="8"/>
      <c r="AD108" s="8"/>
      <c r="AE108" s="7">
        <v>45897</v>
      </c>
      <c r="AF108" s="23">
        <v>7700</v>
      </c>
      <c r="AG108" s="23">
        <v>6500</v>
      </c>
      <c r="AH108" s="23">
        <v>2000</v>
      </c>
      <c r="AI108" s="23">
        <v>700</v>
      </c>
      <c r="AJ108" s="23">
        <v>1500</v>
      </c>
      <c r="AK108" s="23">
        <v>2000</v>
      </c>
      <c r="AL108" s="23" t="s">
        <v>131</v>
      </c>
      <c r="AM108" s="23" t="s">
        <v>131</v>
      </c>
      <c r="AN108" s="24" t="s">
        <v>131</v>
      </c>
      <c r="AO108" s="11"/>
      <c r="AP108" s="14" t="s">
        <v>488</v>
      </c>
      <c r="AQ108" s="11"/>
      <c r="AR108" s="11"/>
      <c r="AS108" s="11">
        <f>N108-R108</f>
        <v>3400</v>
      </c>
      <c r="AT108" s="11"/>
      <c r="AU108" s="11"/>
      <c r="AV108" s="11"/>
      <c r="AW108" s="11"/>
      <c r="AX108" s="22" t="s">
        <v>131</v>
      </c>
      <c r="AY108" s="8" t="s">
        <v>485</v>
      </c>
      <c r="AZ108" s="8" t="s">
        <v>487</v>
      </c>
      <c r="BA108" s="8" t="s">
        <v>131</v>
      </c>
      <c r="BB108" s="8" t="s">
        <v>93</v>
      </c>
      <c r="BC108" s="8" t="s">
        <v>113</v>
      </c>
    </row>
    <row r="109" spans="1:55" x14ac:dyDescent="0.25">
      <c r="A109" s="22">
        <v>52</v>
      </c>
      <c r="B109" s="25">
        <v>45901</v>
      </c>
      <c r="C109" s="8" t="s">
        <v>489</v>
      </c>
      <c r="D109" s="8">
        <v>2079</v>
      </c>
      <c r="E109" s="22"/>
      <c r="F109" s="8" t="s">
        <v>490</v>
      </c>
      <c r="G109" s="8" t="s">
        <v>77</v>
      </c>
      <c r="H109" s="8" t="s">
        <v>91</v>
      </c>
      <c r="I109" s="8" t="s">
        <v>53</v>
      </c>
      <c r="J109" s="22" t="s">
        <v>49</v>
      </c>
      <c r="K109" s="8" t="s">
        <v>133</v>
      </c>
      <c r="L109" s="8" t="s">
        <v>113</v>
      </c>
      <c r="M109" s="8" t="s">
        <v>135</v>
      </c>
      <c r="N109" s="24">
        <v>20400</v>
      </c>
      <c r="O109" s="26">
        <v>20400</v>
      </c>
      <c r="P109" s="14">
        <v>0</v>
      </c>
      <c r="Q109" s="14">
        <v>0</v>
      </c>
      <c r="R109" s="11">
        <f>VLOOKUP(D109,[1]Sheet1!$B$1:$AJ$423,35,0)</f>
        <v>19000</v>
      </c>
      <c r="S109" s="15" t="s">
        <v>492</v>
      </c>
      <c r="T109" s="7" t="s">
        <v>131</v>
      </c>
      <c r="U109" s="7">
        <v>45888</v>
      </c>
      <c r="V109" s="7" t="s">
        <v>202</v>
      </c>
      <c r="W109" s="7">
        <v>45883</v>
      </c>
      <c r="X109" s="22" t="s">
        <v>50</v>
      </c>
      <c r="Y109" s="22"/>
      <c r="Z109" s="8"/>
      <c r="AA109" s="8"/>
      <c r="AB109" s="8"/>
      <c r="AC109" s="8"/>
      <c r="AD109" s="8"/>
      <c r="AE109" s="7" t="s">
        <v>131</v>
      </c>
      <c r="AF109" s="23">
        <v>7700</v>
      </c>
      <c r="AG109" s="23">
        <v>6500</v>
      </c>
      <c r="AH109" s="23">
        <v>2000</v>
      </c>
      <c r="AI109" s="23">
        <v>700</v>
      </c>
      <c r="AJ109" s="23">
        <v>1500</v>
      </c>
      <c r="AK109" s="23">
        <v>2000</v>
      </c>
      <c r="AL109" s="23" t="s">
        <v>131</v>
      </c>
      <c r="AM109" s="23" t="s">
        <v>131</v>
      </c>
      <c r="AN109" s="24" t="s">
        <v>131</v>
      </c>
      <c r="AO109" s="11"/>
      <c r="AP109" s="14" t="s">
        <v>491</v>
      </c>
      <c r="AQ109" s="11" t="s">
        <v>306</v>
      </c>
      <c r="AR109" s="11"/>
      <c r="AS109" s="11">
        <f>N109-R109</f>
        <v>1400</v>
      </c>
      <c r="AT109" s="11"/>
      <c r="AU109" s="11"/>
      <c r="AV109" s="11"/>
      <c r="AW109" s="11"/>
      <c r="AX109" s="22" t="s">
        <v>131</v>
      </c>
      <c r="AY109" s="8">
        <v>46868619</v>
      </c>
      <c r="AZ109" s="8" t="s">
        <v>197</v>
      </c>
      <c r="BA109" s="8" t="s">
        <v>131</v>
      </c>
      <c r="BB109" s="8" t="s">
        <v>92</v>
      </c>
      <c r="BC109" s="8" t="s">
        <v>113</v>
      </c>
    </row>
    <row r="110" spans="1:55" x14ac:dyDescent="0.25">
      <c r="A110" s="22">
        <v>53</v>
      </c>
      <c r="B110" s="25">
        <v>45901</v>
      </c>
      <c r="C110" s="8" t="s">
        <v>493</v>
      </c>
      <c r="D110" s="8">
        <v>2093</v>
      </c>
      <c r="E110" s="22"/>
      <c r="F110" s="8" t="s">
        <v>495</v>
      </c>
      <c r="G110" s="8" t="s">
        <v>53</v>
      </c>
      <c r="H110" s="8" t="s">
        <v>91</v>
      </c>
      <c r="I110" s="8" t="s">
        <v>53</v>
      </c>
      <c r="J110" s="22" t="s">
        <v>49</v>
      </c>
      <c r="K110" s="8" t="s">
        <v>134</v>
      </c>
      <c r="L110" s="8" t="s">
        <v>113</v>
      </c>
      <c r="M110" s="8" t="s">
        <v>135</v>
      </c>
      <c r="N110" s="24">
        <v>12500</v>
      </c>
      <c r="O110" s="26">
        <v>12500</v>
      </c>
      <c r="P110" s="14">
        <v>0</v>
      </c>
      <c r="Q110" s="14">
        <v>0</v>
      </c>
      <c r="R110" s="11">
        <f>VLOOKUP(D110,[2]Sheet1!$C$1:$T$74,18,0)</f>
        <v>11300</v>
      </c>
      <c r="S110" s="15" t="s">
        <v>492</v>
      </c>
      <c r="T110" s="7" t="s">
        <v>131</v>
      </c>
      <c r="U110" s="7">
        <v>45890</v>
      </c>
      <c r="V110" s="7" t="s">
        <v>202</v>
      </c>
      <c r="W110" s="7">
        <v>45888</v>
      </c>
      <c r="X110" s="22" t="s">
        <v>50</v>
      </c>
      <c r="Y110" s="22"/>
      <c r="Z110" s="8"/>
      <c r="AA110" s="8"/>
      <c r="AB110" s="8"/>
      <c r="AC110" s="8"/>
      <c r="AD110" s="8"/>
      <c r="AE110" s="7" t="s">
        <v>131</v>
      </c>
      <c r="AF110" s="23">
        <v>4000</v>
      </c>
      <c r="AG110" s="23">
        <v>2300</v>
      </c>
      <c r="AH110" s="27">
        <v>2000</v>
      </c>
      <c r="AI110" s="23">
        <v>700</v>
      </c>
      <c r="AJ110" s="23">
        <v>1500</v>
      </c>
      <c r="AK110" s="23">
        <v>2000</v>
      </c>
      <c r="AL110" s="23" t="s">
        <v>131</v>
      </c>
      <c r="AM110" s="23" t="s">
        <v>131</v>
      </c>
      <c r="AN110" s="24" t="s">
        <v>131</v>
      </c>
      <c r="AO110" s="11"/>
      <c r="AP110" s="14" t="s">
        <v>496</v>
      </c>
      <c r="AQ110" s="11" t="s">
        <v>306</v>
      </c>
      <c r="AR110" s="11"/>
      <c r="AS110" s="11">
        <f>N110-R110</f>
        <v>1200</v>
      </c>
      <c r="AT110" s="11"/>
      <c r="AU110" s="11"/>
      <c r="AV110" s="11"/>
      <c r="AW110" s="11"/>
      <c r="AX110" s="22" t="s">
        <v>131</v>
      </c>
      <c r="AY110" s="8" t="s">
        <v>494</v>
      </c>
      <c r="AZ110" s="8" t="s">
        <v>299</v>
      </c>
      <c r="BA110" s="8" t="s">
        <v>131</v>
      </c>
      <c r="BB110" s="8" t="s">
        <v>92</v>
      </c>
      <c r="BC110" s="8" t="s">
        <v>113</v>
      </c>
    </row>
    <row r="111" spans="1:55" x14ac:dyDescent="0.25">
      <c r="A111" s="22">
        <v>54</v>
      </c>
      <c r="B111" s="25">
        <v>45901</v>
      </c>
      <c r="C111" s="8" t="s">
        <v>497</v>
      </c>
      <c r="D111" s="8">
        <v>2094</v>
      </c>
      <c r="E111" s="22"/>
      <c r="F111" s="8" t="s">
        <v>499</v>
      </c>
      <c r="G111" s="8" t="s">
        <v>53</v>
      </c>
      <c r="H111" s="8" t="s">
        <v>500</v>
      </c>
      <c r="I111" s="8" t="s">
        <v>53</v>
      </c>
      <c r="J111" s="22" t="s">
        <v>49</v>
      </c>
      <c r="K111" s="8" t="s">
        <v>132</v>
      </c>
      <c r="L111" s="8" t="s">
        <v>114</v>
      </c>
      <c r="M111" s="8" t="s">
        <v>137</v>
      </c>
      <c r="N111" s="24">
        <v>9200</v>
      </c>
      <c r="O111" s="26">
        <v>9200</v>
      </c>
      <c r="P111" s="14">
        <v>0</v>
      </c>
      <c r="Q111" s="14">
        <v>0</v>
      </c>
      <c r="R111" s="11">
        <f>VLOOKUP(D111,[2]Sheet1!$C$1:$T$74,18,0)</f>
        <v>6300</v>
      </c>
      <c r="S111" s="15" t="s">
        <v>492</v>
      </c>
      <c r="T111" s="7" t="s">
        <v>501</v>
      </c>
      <c r="U111" s="7">
        <v>45892</v>
      </c>
      <c r="V111" s="7" t="s">
        <v>191</v>
      </c>
      <c r="W111" s="7">
        <v>45888</v>
      </c>
      <c r="X111" s="22" t="s">
        <v>50</v>
      </c>
      <c r="Y111" s="22"/>
      <c r="Z111" s="8"/>
      <c r="AA111" s="8"/>
      <c r="AB111" s="8"/>
      <c r="AC111" s="8"/>
      <c r="AD111" s="8"/>
      <c r="AE111" s="7" t="s">
        <v>131</v>
      </c>
      <c r="AF111" s="23">
        <v>5400</v>
      </c>
      <c r="AG111" s="23">
        <v>2300</v>
      </c>
      <c r="AH111" s="23" t="s">
        <v>131</v>
      </c>
      <c r="AI111" s="23" t="s">
        <v>131</v>
      </c>
      <c r="AJ111" s="23">
        <v>1500</v>
      </c>
      <c r="AK111" s="23" t="s">
        <v>131</v>
      </c>
      <c r="AL111" s="23" t="s">
        <v>131</v>
      </c>
      <c r="AM111" s="23" t="s">
        <v>131</v>
      </c>
      <c r="AN111" s="24" t="s">
        <v>131</v>
      </c>
      <c r="AO111" s="11"/>
      <c r="AP111" s="14" t="s">
        <v>488</v>
      </c>
      <c r="AQ111" s="11" t="s">
        <v>306</v>
      </c>
      <c r="AR111" s="11"/>
      <c r="AS111" s="11">
        <f>N111-R111</f>
        <v>2900</v>
      </c>
      <c r="AT111" s="11"/>
      <c r="AU111" s="11"/>
      <c r="AV111" s="11"/>
      <c r="AW111" s="11"/>
      <c r="AX111" s="22" t="s">
        <v>131</v>
      </c>
      <c r="AY111" s="8" t="s">
        <v>498</v>
      </c>
      <c r="AZ111" s="8" t="s">
        <v>333</v>
      </c>
      <c r="BA111" s="8" t="s">
        <v>131</v>
      </c>
      <c r="BB111" s="8" t="s">
        <v>299</v>
      </c>
      <c r="BC111" s="8" t="s">
        <v>114</v>
      </c>
    </row>
    <row r="112" spans="1:55" x14ac:dyDescent="0.25">
      <c r="A112" s="22">
        <v>55</v>
      </c>
      <c r="B112" s="25">
        <v>45901</v>
      </c>
      <c r="C112" s="8" t="s">
        <v>484</v>
      </c>
      <c r="D112" s="8">
        <v>2109</v>
      </c>
      <c r="E112" s="22"/>
      <c r="F112" s="8" t="s">
        <v>486</v>
      </c>
      <c r="G112" s="8" t="s">
        <v>464</v>
      </c>
      <c r="H112" s="8" t="s">
        <v>502</v>
      </c>
      <c r="I112" s="8" t="s">
        <v>504</v>
      </c>
      <c r="J112" s="22" t="s">
        <v>49</v>
      </c>
      <c r="K112" s="8" t="s">
        <v>133</v>
      </c>
      <c r="L112" s="8" t="s">
        <v>114</v>
      </c>
      <c r="M112" s="8" t="s">
        <v>137</v>
      </c>
      <c r="N112" s="24">
        <v>15700</v>
      </c>
      <c r="O112" s="26">
        <v>0</v>
      </c>
      <c r="P112" s="14">
        <v>0</v>
      </c>
      <c r="Q112" s="26">
        <v>15700</v>
      </c>
      <c r="R112" s="28">
        <v>3500</v>
      </c>
      <c r="S112" s="11" t="s">
        <v>171</v>
      </c>
      <c r="T112" s="7" t="s">
        <v>131</v>
      </c>
      <c r="U112" s="7">
        <v>45891</v>
      </c>
      <c r="V112" s="7" t="s">
        <v>191</v>
      </c>
      <c r="W112" s="7">
        <v>45891</v>
      </c>
      <c r="X112" s="22" t="s">
        <v>50</v>
      </c>
      <c r="Y112" s="22"/>
      <c r="Z112" s="8"/>
      <c r="AA112" s="8"/>
      <c r="AB112" s="8"/>
      <c r="AC112" s="8"/>
      <c r="AD112" s="8"/>
      <c r="AE112" s="7">
        <v>45895</v>
      </c>
      <c r="AF112" s="23">
        <v>7700</v>
      </c>
      <c r="AG112" s="23">
        <v>6500</v>
      </c>
      <c r="AH112" s="23" t="s">
        <v>131</v>
      </c>
      <c r="AI112" s="23" t="s">
        <v>131</v>
      </c>
      <c r="AJ112" s="23">
        <v>1500</v>
      </c>
      <c r="AK112" s="23" t="s">
        <v>131</v>
      </c>
      <c r="AL112" s="23" t="s">
        <v>131</v>
      </c>
      <c r="AM112" s="23" t="s">
        <v>131</v>
      </c>
      <c r="AN112" s="24" t="s">
        <v>131</v>
      </c>
      <c r="AO112" s="11"/>
      <c r="AP112" s="14" t="s">
        <v>488</v>
      </c>
      <c r="AQ112" s="11" t="s">
        <v>505</v>
      </c>
      <c r="AR112" s="11"/>
      <c r="AS112" s="11">
        <f>N112-R112</f>
        <v>12200</v>
      </c>
      <c r="AT112" s="11"/>
      <c r="AU112" s="11"/>
      <c r="AV112" s="11"/>
      <c r="AW112" s="11"/>
      <c r="AX112" s="22" t="s">
        <v>131</v>
      </c>
      <c r="AY112" s="8" t="s">
        <v>131</v>
      </c>
      <c r="AZ112" s="8" t="s">
        <v>487</v>
      </c>
      <c r="BA112" s="8" t="s">
        <v>131</v>
      </c>
      <c r="BB112" s="8" t="s">
        <v>503</v>
      </c>
      <c r="BC112" s="8" t="s">
        <v>114</v>
      </c>
    </row>
    <row r="113" spans="1:55" x14ac:dyDescent="0.25">
      <c r="A113" s="22">
        <v>56</v>
      </c>
      <c r="B113" s="25">
        <v>45901</v>
      </c>
      <c r="C113" s="8" t="s">
        <v>506</v>
      </c>
      <c r="D113" s="8">
        <v>2111</v>
      </c>
      <c r="E113" s="22"/>
      <c r="F113" s="8" t="s">
        <v>507</v>
      </c>
      <c r="G113" s="8" t="s">
        <v>53</v>
      </c>
      <c r="H113" s="8" t="s">
        <v>91</v>
      </c>
      <c r="I113" s="8" t="s">
        <v>53</v>
      </c>
      <c r="J113" s="22" t="s">
        <v>49</v>
      </c>
      <c r="K113" s="8" t="s">
        <v>132</v>
      </c>
      <c r="L113" s="8" t="s">
        <v>113</v>
      </c>
      <c r="M113" s="8" t="s">
        <v>135</v>
      </c>
      <c r="N113" s="24">
        <v>18100</v>
      </c>
      <c r="O113" s="26">
        <v>18100</v>
      </c>
      <c r="P113" s="14">
        <v>0</v>
      </c>
      <c r="Q113" s="14">
        <v>0</v>
      </c>
      <c r="R113" s="11">
        <f>VLOOKUP(D113,[2]Sheet1!$C$1:$T$74,18,0)</f>
        <v>17100</v>
      </c>
      <c r="S113" s="15" t="s">
        <v>492</v>
      </c>
      <c r="T113" s="7" t="s">
        <v>131</v>
      </c>
      <c r="U113" s="7">
        <v>45897</v>
      </c>
      <c r="V113" s="7" t="s">
        <v>202</v>
      </c>
      <c r="W113" s="7">
        <v>45892</v>
      </c>
      <c r="X113" s="22" t="s">
        <v>50</v>
      </c>
      <c r="Y113" s="22"/>
      <c r="Z113" s="8"/>
      <c r="AA113" s="8"/>
      <c r="AB113" s="8"/>
      <c r="AC113" s="8"/>
      <c r="AD113" s="8"/>
      <c r="AE113" s="7" t="s">
        <v>131</v>
      </c>
      <c r="AF113" s="23">
        <v>5400</v>
      </c>
      <c r="AG113" s="23">
        <v>6500</v>
      </c>
      <c r="AH113" s="23">
        <v>2000</v>
      </c>
      <c r="AI113" s="23">
        <v>700</v>
      </c>
      <c r="AJ113" s="23">
        <v>1500</v>
      </c>
      <c r="AK113" s="23">
        <v>2000</v>
      </c>
      <c r="AL113" s="23" t="s">
        <v>131</v>
      </c>
      <c r="AM113" s="23" t="s">
        <v>131</v>
      </c>
      <c r="AN113" s="24" t="s">
        <v>131</v>
      </c>
      <c r="AO113" s="11"/>
      <c r="AP113" s="14" t="s">
        <v>488</v>
      </c>
      <c r="AQ113" s="11" t="s">
        <v>306</v>
      </c>
      <c r="AR113" s="11"/>
      <c r="AS113" s="11">
        <f>N113-R113</f>
        <v>1000</v>
      </c>
      <c r="AT113" s="11"/>
      <c r="AU113" s="11"/>
      <c r="AV113" s="11"/>
      <c r="AW113" s="11"/>
      <c r="AX113" s="22" t="s">
        <v>131</v>
      </c>
      <c r="AY113" s="8">
        <v>57691313</v>
      </c>
      <c r="AZ113" s="8" t="s">
        <v>333</v>
      </c>
      <c r="BA113" s="8" t="s">
        <v>131</v>
      </c>
      <c r="BB113" s="8" t="s">
        <v>92</v>
      </c>
      <c r="BC113" s="8" t="s">
        <v>113</v>
      </c>
    </row>
    <row r="114" spans="1:55" x14ac:dyDescent="0.25">
      <c r="A114" s="22">
        <v>57</v>
      </c>
      <c r="B114" s="25">
        <v>45901</v>
      </c>
      <c r="C114" s="8" t="s">
        <v>508</v>
      </c>
      <c r="D114" s="8">
        <v>2118</v>
      </c>
      <c r="E114" s="22"/>
      <c r="F114" s="8" t="s">
        <v>510</v>
      </c>
      <c r="G114" s="8" t="s">
        <v>53</v>
      </c>
      <c r="H114" s="8" t="s">
        <v>91</v>
      </c>
      <c r="I114" s="8" t="s">
        <v>53</v>
      </c>
      <c r="J114" s="22" t="s">
        <v>49</v>
      </c>
      <c r="K114" s="8" t="s">
        <v>134</v>
      </c>
      <c r="L114" s="8" t="s">
        <v>113</v>
      </c>
      <c r="M114" s="8" t="s">
        <v>135</v>
      </c>
      <c r="N114" s="24">
        <v>12500</v>
      </c>
      <c r="O114" s="26">
        <v>12500</v>
      </c>
      <c r="P114" s="14">
        <v>0</v>
      </c>
      <c r="Q114" s="14">
        <v>0</v>
      </c>
      <c r="R114" s="11">
        <f>VLOOKUP(D114,[2]Sheet1!$C$1:$T$74,18,0)</f>
        <v>11300</v>
      </c>
      <c r="S114" s="15" t="s">
        <v>492</v>
      </c>
      <c r="T114" s="7" t="s">
        <v>131</v>
      </c>
      <c r="U114" s="7">
        <v>45901</v>
      </c>
      <c r="V114" s="7" t="s">
        <v>202</v>
      </c>
      <c r="W114" s="7">
        <v>45895</v>
      </c>
      <c r="X114" s="22" t="s">
        <v>50</v>
      </c>
      <c r="Y114" s="22"/>
      <c r="Z114" s="8"/>
      <c r="AA114" s="8"/>
      <c r="AB114" s="8"/>
      <c r="AC114" s="8"/>
      <c r="AD114" s="8"/>
      <c r="AE114" s="7" t="s">
        <v>131</v>
      </c>
      <c r="AF114" s="23">
        <v>4000</v>
      </c>
      <c r="AG114" s="23">
        <v>2300</v>
      </c>
      <c r="AH114" s="27">
        <v>2000</v>
      </c>
      <c r="AI114" s="23">
        <v>700</v>
      </c>
      <c r="AJ114" s="23">
        <v>1500</v>
      </c>
      <c r="AK114" s="23">
        <v>2000</v>
      </c>
      <c r="AL114" s="23" t="s">
        <v>131</v>
      </c>
      <c r="AM114" s="23" t="s">
        <v>131</v>
      </c>
      <c r="AN114" s="24" t="s">
        <v>131</v>
      </c>
      <c r="AO114" s="11"/>
      <c r="AP114" s="14" t="s">
        <v>488</v>
      </c>
      <c r="AQ114" s="11" t="s">
        <v>306</v>
      </c>
      <c r="AR114" s="11"/>
      <c r="AS114" s="11">
        <f>N114-R114</f>
        <v>1200</v>
      </c>
      <c r="AT114" s="11"/>
      <c r="AU114" s="11"/>
      <c r="AV114" s="11"/>
      <c r="AW114" s="11"/>
      <c r="AX114" s="22" t="s">
        <v>131</v>
      </c>
      <c r="AY114" s="8" t="s">
        <v>509</v>
      </c>
      <c r="AZ114" s="8" t="s">
        <v>511</v>
      </c>
      <c r="BA114" s="8" t="s">
        <v>131</v>
      </c>
      <c r="BB114" s="8" t="s">
        <v>92</v>
      </c>
      <c r="BC114" s="8" t="s">
        <v>113</v>
      </c>
    </row>
    <row r="115" spans="1:55" x14ac:dyDescent="0.25">
      <c r="A115" s="22">
        <v>58</v>
      </c>
      <c r="B115" s="25">
        <v>45901</v>
      </c>
      <c r="C115" s="8" t="s">
        <v>512</v>
      </c>
      <c r="D115" s="8">
        <v>2119</v>
      </c>
      <c r="E115" s="22"/>
      <c r="F115" s="8" t="s">
        <v>514</v>
      </c>
      <c r="G115" s="8" t="s">
        <v>53</v>
      </c>
      <c r="H115" s="8" t="s">
        <v>91</v>
      </c>
      <c r="I115" s="8" t="s">
        <v>53</v>
      </c>
      <c r="J115" s="22" t="s">
        <v>49</v>
      </c>
      <c r="K115" s="8" t="s">
        <v>134</v>
      </c>
      <c r="L115" s="8" t="s">
        <v>113</v>
      </c>
      <c r="M115" s="8" t="s">
        <v>135</v>
      </c>
      <c r="N115" s="24">
        <v>12500</v>
      </c>
      <c r="O115" s="26">
        <v>12500</v>
      </c>
      <c r="P115" s="14">
        <v>0</v>
      </c>
      <c r="Q115" s="14">
        <v>0</v>
      </c>
      <c r="R115" s="11">
        <f>VLOOKUP(D115,[2]Sheet1!$C$1:$T$74,18,0)</f>
        <v>11300</v>
      </c>
      <c r="S115" s="15" t="s">
        <v>492</v>
      </c>
      <c r="T115" s="7" t="s">
        <v>131</v>
      </c>
      <c r="U115" s="7">
        <v>45901</v>
      </c>
      <c r="V115" s="7" t="s">
        <v>202</v>
      </c>
      <c r="W115" s="7">
        <v>45895</v>
      </c>
      <c r="X115" s="22" t="s">
        <v>50</v>
      </c>
      <c r="Y115" s="22"/>
      <c r="Z115" s="8"/>
      <c r="AA115" s="8"/>
      <c r="AB115" s="8"/>
      <c r="AC115" s="8"/>
      <c r="AD115" s="8"/>
      <c r="AE115" s="7" t="s">
        <v>131</v>
      </c>
      <c r="AF115" s="23">
        <v>4000</v>
      </c>
      <c r="AG115" s="23">
        <v>2300</v>
      </c>
      <c r="AH115" s="27">
        <v>2000</v>
      </c>
      <c r="AI115" s="23">
        <v>700</v>
      </c>
      <c r="AJ115" s="23">
        <v>1500</v>
      </c>
      <c r="AK115" s="23">
        <v>2000</v>
      </c>
      <c r="AL115" s="23" t="s">
        <v>131</v>
      </c>
      <c r="AM115" s="23" t="s">
        <v>131</v>
      </c>
      <c r="AN115" s="24" t="s">
        <v>131</v>
      </c>
      <c r="AO115" s="11"/>
      <c r="AP115" s="14" t="s">
        <v>488</v>
      </c>
      <c r="AQ115" s="11" t="s">
        <v>306</v>
      </c>
      <c r="AR115" s="11"/>
      <c r="AS115" s="11">
        <f>N115-R115</f>
        <v>1200</v>
      </c>
      <c r="AT115" s="11"/>
      <c r="AU115" s="11"/>
      <c r="AV115" s="11"/>
      <c r="AW115" s="11"/>
      <c r="AX115" s="22" t="s">
        <v>131</v>
      </c>
      <c r="AY115" s="8" t="s">
        <v>513</v>
      </c>
      <c r="AZ115" s="8" t="s">
        <v>515</v>
      </c>
      <c r="BA115" s="8" t="s">
        <v>131</v>
      </c>
      <c r="BB115" s="8" t="s">
        <v>92</v>
      </c>
      <c r="BC115" s="8" t="s">
        <v>113</v>
      </c>
    </row>
    <row r="116" spans="1:55" x14ac:dyDescent="0.25">
      <c r="A116" s="22">
        <v>59</v>
      </c>
      <c r="B116" s="25">
        <v>45901</v>
      </c>
      <c r="C116" s="8" t="s">
        <v>516</v>
      </c>
      <c r="D116" s="8">
        <v>2120</v>
      </c>
      <c r="E116" s="22"/>
      <c r="F116" s="8" t="s">
        <v>518</v>
      </c>
      <c r="G116" s="8" t="s">
        <v>53</v>
      </c>
      <c r="H116" s="8" t="s">
        <v>91</v>
      </c>
      <c r="I116" s="8" t="s">
        <v>53</v>
      </c>
      <c r="J116" s="22" t="s">
        <v>49</v>
      </c>
      <c r="K116" s="8" t="s">
        <v>134</v>
      </c>
      <c r="L116" s="8" t="s">
        <v>113</v>
      </c>
      <c r="M116" s="8" t="s">
        <v>135</v>
      </c>
      <c r="N116" s="24">
        <v>12500</v>
      </c>
      <c r="O116" s="26">
        <v>12500</v>
      </c>
      <c r="P116" s="14">
        <v>0</v>
      </c>
      <c r="Q116" s="14">
        <v>0</v>
      </c>
      <c r="R116" s="11">
        <f>VLOOKUP(D116,[2]Sheet1!$C$1:$T$74,18,0)</f>
        <v>11300</v>
      </c>
      <c r="S116" s="15" t="s">
        <v>492</v>
      </c>
      <c r="T116" s="7" t="s">
        <v>131</v>
      </c>
      <c r="U116" s="7">
        <v>45901</v>
      </c>
      <c r="V116" s="7" t="s">
        <v>202</v>
      </c>
      <c r="W116" s="7">
        <v>45895</v>
      </c>
      <c r="X116" s="22" t="s">
        <v>50</v>
      </c>
      <c r="Y116" s="22"/>
      <c r="Z116" s="8"/>
      <c r="AA116" s="8"/>
      <c r="AB116" s="8"/>
      <c r="AC116" s="8"/>
      <c r="AD116" s="8"/>
      <c r="AE116" s="7" t="s">
        <v>131</v>
      </c>
      <c r="AF116" s="23">
        <v>4000</v>
      </c>
      <c r="AG116" s="23">
        <v>2300</v>
      </c>
      <c r="AH116" s="27">
        <v>2000</v>
      </c>
      <c r="AI116" s="23">
        <v>700</v>
      </c>
      <c r="AJ116" s="23">
        <v>1500</v>
      </c>
      <c r="AK116" s="23">
        <v>2000</v>
      </c>
      <c r="AL116" s="23" t="s">
        <v>131</v>
      </c>
      <c r="AM116" s="23" t="s">
        <v>131</v>
      </c>
      <c r="AN116" s="24" t="s">
        <v>131</v>
      </c>
      <c r="AO116" s="11"/>
      <c r="AP116" s="14" t="s">
        <v>488</v>
      </c>
      <c r="AQ116" s="11" t="s">
        <v>306</v>
      </c>
      <c r="AR116" s="11"/>
      <c r="AS116" s="11">
        <f>N116-R116</f>
        <v>1200</v>
      </c>
      <c r="AT116" s="11"/>
      <c r="AU116" s="11"/>
      <c r="AV116" s="11"/>
      <c r="AW116" s="11"/>
      <c r="AX116" s="22" t="s">
        <v>131</v>
      </c>
      <c r="AY116" s="8" t="s">
        <v>517</v>
      </c>
      <c r="AZ116" s="8" t="s">
        <v>143</v>
      </c>
      <c r="BA116" s="8" t="s">
        <v>131</v>
      </c>
      <c r="BB116" s="8" t="s">
        <v>92</v>
      </c>
      <c r="BC116" s="8" t="s">
        <v>113</v>
      </c>
    </row>
    <row r="117" spans="1:55" x14ac:dyDescent="0.25">
      <c r="A117" s="22">
        <v>60</v>
      </c>
      <c r="B117" s="25">
        <v>45901</v>
      </c>
      <c r="C117" s="8" t="s">
        <v>519</v>
      </c>
      <c r="D117" s="8">
        <v>2121</v>
      </c>
      <c r="E117" s="22"/>
      <c r="F117" s="8" t="s">
        <v>521</v>
      </c>
      <c r="G117" s="8" t="s">
        <v>53</v>
      </c>
      <c r="H117" s="8" t="s">
        <v>91</v>
      </c>
      <c r="I117" s="8" t="s">
        <v>53</v>
      </c>
      <c r="J117" s="22" t="s">
        <v>49</v>
      </c>
      <c r="K117" s="8" t="s">
        <v>134</v>
      </c>
      <c r="L117" s="8" t="s">
        <v>113</v>
      </c>
      <c r="M117" s="8" t="s">
        <v>135</v>
      </c>
      <c r="N117" s="24">
        <v>12500</v>
      </c>
      <c r="O117" s="26">
        <v>12500</v>
      </c>
      <c r="P117" s="14">
        <v>0</v>
      </c>
      <c r="Q117" s="14">
        <v>0</v>
      </c>
      <c r="R117" s="11">
        <f>VLOOKUP(D117,[2]Sheet1!$C$1:$T$74,18,0)</f>
        <v>11300</v>
      </c>
      <c r="S117" s="15" t="s">
        <v>492</v>
      </c>
      <c r="T117" s="7" t="s">
        <v>131</v>
      </c>
      <c r="U117" s="7">
        <v>45901</v>
      </c>
      <c r="V117" s="7" t="s">
        <v>202</v>
      </c>
      <c r="W117" s="7">
        <v>45895</v>
      </c>
      <c r="X117" s="22" t="s">
        <v>50</v>
      </c>
      <c r="Y117" s="22"/>
      <c r="Z117" s="8"/>
      <c r="AA117" s="8"/>
      <c r="AB117" s="8"/>
      <c r="AC117" s="8"/>
      <c r="AD117" s="8"/>
      <c r="AE117" s="7" t="s">
        <v>131</v>
      </c>
      <c r="AF117" s="23">
        <v>4000</v>
      </c>
      <c r="AG117" s="23">
        <v>2300</v>
      </c>
      <c r="AH117" s="27">
        <v>2000</v>
      </c>
      <c r="AI117" s="23">
        <v>700</v>
      </c>
      <c r="AJ117" s="23">
        <v>1500</v>
      </c>
      <c r="AK117" s="23">
        <v>2000</v>
      </c>
      <c r="AL117" s="23" t="s">
        <v>131</v>
      </c>
      <c r="AM117" s="23" t="s">
        <v>131</v>
      </c>
      <c r="AN117" s="24" t="s">
        <v>131</v>
      </c>
      <c r="AO117" s="11"/>
      <c r="AP117" s="14" t="s">
        <v>488</v>
      </c>
      <c r="AQ117" s="11" t="s">
        <v>306</v>
      </c>
      <c r="AR117" s="11"/>
      <c r="AS117" s="11">
        <f>N117-R117</f>
        <v>1200</v>
      </c>
      <c r="AT117" s="11"/>
      <c r="AU117" s="11"/>
      <c r="AV117" s="11"/>
      <c r="AW117" s="11"/>
      <c r="AX117" s="22" t="s">
        <v>131</v>
      </c>
      <c r="AY117" s="8" t="s">
        <v>520</v>
      </c>
      <c r="AZ117" s="8" t="s">
        <v>261</v>
      </c>
      <c r="BA117" s="8" t="s">
        <v>131</v>
      </c>
      <c r="BB117" s="8" t="s">
        <v>92</v>
      </c>
      <c r="BC117" s="8" t="s">
        <v>113</v>
      </c>
    </row>
    <row r="118" spans="1:55" x14ac:dyDescent="0.25">
      <c r="A118" s="22">
        <v>61</v>
      </c>
      <c r="B118" s="25">
        <v>45901</v>
      </c>
      <c r="C118" s="8" t="s">
        <v>522</v>
      </c>
      <c r="D118" s="8">
        <v>2122</v>
      </c>
      <c r="E118" s="22"/>
      <c r="F118" s="8" t="s">
        <v>524</v>
      </c>
      <c r="G118" s="8" t="s">
        <v>53</v>
      </c>
      <c r="H118" s="8" t="s">
        <v>91</v>
      </c>
      <c r="I118" s="8" t="s">
        <v>53</v>
      </c>
      <c r="J118" s="22" t="s">
        <v>49</v>
      </c>
      <c r="K118" s="8" t="s">
        <v>132</v>
      </c>
      <c r="L118" s="8" t="s">
        <v>113</v>
      </c>
      <c r="M118" s="8" t="s">
        <v>135</v>
      </c>
      <c r="N118" s="24">
        <v>18100</v>
      </c>
      <c r="O118" s="14">
        <v>0</v>
      </c>
      <c r="P118" s="14">
        <v>0</v>
      </c>
      <c r="Q118" s="26">
        <f>N118</f>
        <v>18100</v>
      </c>
      <c r="R118" s="11">
        <f>VLOOKUP(D118,[2]Sheet1!$C$1:$T$74,18,0)</f>
        <v>13100</v>
      </c>
      <c r="S118" s="11" t="s">
        <v>131</v>
      </c>
      <c r="T118" s="7" t="s">
        <v>131</v>
      </c>
      <c r="U118" s="7">
        <v>45917</v>
      </c>
      <c r="V118" s="7" t="s">
        <v>202</v>
      </c>
      <c r="W118" s="7">
        <v>45895</v>
      </c>
      <c r="X118" s="22" t="s">
        <v>50</v>
      </c>
      <c r="Y118" s="22"/>
      <c r="Z118" s="8"/>
      <c r="AA118" s="8"/>
      <c r="AB118" s="8"/>
      <c r="AC118" s="8"/>
      <c r="AD118" s="8"/>
      <c r="AE118" s="7" t="s">
        <v>131</v>
      </c>
      <c r="AF118" s="23">
        <v>5400</v>
      </c>
      <c r="AG118" s="23">
        <v>2300</v>
      </c>
      <c r="AH118" s="23">
        <v>2000</v>
      </c>
      <c r="AI118" s="23">
        <v>700</v>
      </c>
      <c r="AJ118" s="23">
        <v>1500</v>
      </c>
      <c r="AK118" s="23">
        <v>2000</v>
      </c>
      <c r="AL118" s="23" t="s">
        <v>131</v>
      </c>
      <c r="AM118" s="23" t="s">
        <v>131</v>
      </c>
      <c r="AN118" s="24" t="s">
        <v>131</v>
      </c>
      <c r="AO118" s="11"/>
      <c r="AP118" s="14" t="s">
        <v>488</v>
      </c>
      <c r="AQ118" s="11" t="s">
        <v>505</v>
      </c>
      <c r="AR118" s="11"/>
      <c r="AS118" s="11">
        <f>N118-R118</f>
        <v>5000</v>
      </c>
      <c r="AT118" s="11"/>
      <c r="AU118" s="11"/>
      <c r="AV118" s="11"/>
      <c r="AW118" s="11"/>
      <c r="AX118" s="22" t="s">
        <v>131</v>
      </c>
      <c r="AY118" s="8" t="s">
        <v>523</v>
      </c>
      <c r="AZ118" s="8" t="s">
        <v>445</v>
      </c>
      <c r="BA118" s="8" t="s">
        <v>131</v>
      </c>
      <c r="BB118" s="8" t="s">
        <v>92</v>
      </c>
      <c r="BC118" s="8" t="s">
        <v>113</v>
      </c>
    </row>
    <row r="119" spans="1:55" x14ac:dyDescent="0.25">
      <c r="A119" s="22">
        <v>62</v>
      </c>
      <c r="B119" s="25">
        <v>45901</v>
      </c>
      <c r="C119" s="8" t="s">
        <v>525</v>
      </c>
      <c r="D119" s="8">
        <v>2123</v>
      </c>
      <c r="E119" s="22"/>
      <c r="F119" s="8" t="s">
        <v>527</v>
      </c>
      <c r="G119" s="8" t="s">
        <v>53</v>
      </c>
      <c r="H119" s="8" t="s">
        <v>91</v>
      </c>
      <c r="I119" s="8" t="s">
        <v>53</v>
      </c>
      <c r="J119" s="22" t="s">
        <v>49</v>
      </c>
      <c r="K119" s="8" t="s">
        <v>134</v>
      </c>
      <c r="L119" s="8" t="s">
        <v>113</v>
      </c>
      <c r="M119" s="8" t="s">
        <v>135</v>
      </c>
      <c r="N119" s="24">
        <v>12500</v>
      </c>
      <c r="O119" s="26">
        <v>12500</v>
      </c>
      <c r="P119" s="14">
        <v>0</v>
      </c>
      <c r="Q119" s="14">
        <v>0</v>
      </c>
      <c r="R119" s="11">
        <f>VLOOKUP(D119,[2]Sheet1!$C$1:$T$74,18,0)</f>
        <v>11300</v>
      </c>
      <c r="S119" s="15" t="s">
        <v>492</v>
      </c>
      <c r="T119" s="7" t="s">
        <v>131</v>
      </c>
      <c r="U119" s="7">
        <v>45904</v>
      </c>
      <c r="V119" s="7" t="s">
        <v>202</v>
      </c>
      <c r="W119" s="7">
        <v>45895</v>
      </c>
      <c r="X119" s="22" t="s">
        <v>50</v>
      </c>
      <c r="Y119" s="22"/>
      <c r="Z119" s="8"/>
      <c r="AA119" s="8"/>
      <c r="AB119" s="8"/>
      <c r="AC119" s="8"/>
      <c r="AD119" s="8"/>
      <c r="AE119" s="7" t="s">
        <v>131</v>
      </c>
      <c r="AF119" s="23">
        <v>4000</v>
      </c>
      <c r="AG119" s="23">
        <v>2300</v>
      </c>
      <c r="AH119" s="27">
        <v>2000</v>
      </c>
      <c r="AI119" s="23">
        <v>700</v>
      </c>
      <c r="AJ119" s="23">
        <v>1500</v>
      </c>
      <c r="AK119" s="23">
        <v>2000</v>
      </c>
      <c r="AL119" s="23" t="s">
        <v>131</v>
      </c>
      <c r="AM119" s="23" t="s">
        <v>131</v>
      </c>
      <c r="AN119" s="24" t="s">
        <v>131</v>
      </c>
      <c r="AO119" s="11"/>
      <c r="AP119" s="14" t="s">
        <v>488</v>
      </c>
      <c r="AQ119" s="11" t="s">
        <v>306</v>
      </c>
      <c r="AR119" s="11"/>
      <c r="AS119" s="11">
        <f>N119-R119</f>
        <v>1200</v>
      </c>
      <c r="AT119" s="11"/>
      <c r="AU119" s="11"/>
      <c r="AV119" s="11"/>
      <c r="AW119" s="11"/>
      <c r="AX119" s="22" t="s">
        <v>131</v>
      </c>
      <c r="AY119" s="8" t="s">
        <v>526</v>
      </c>
      <c r="AZ119" s="8" t="s">
        <v>143</v>
      </c>
      <c r="BA119" s="8" t="s">
        <v>131</v>
      </c>
      <c r="BB119" s="8" t="s">
        <v>92</v>
      </c>
      <c r="BC119" s="8" t="s">
        <v>113</v>
      </c>
    </row>
    <row r="120" spans="1:55" x14ac:dyDescent="0.25">
      <c r="A120" s="22">
        <v>63</v>
      </c>
      <c r="B120" s="25">
        <v>45901</v>
      </c>
      <c r="C120" s="8" t="s">
        <v>528</v>
      </c>
      <c r="D120" s="8">
        <v>2126</v>
      </c>
      <c r="E120" s="22"/>
      <c r="F120" s="8" t="s">
        <v>530</v>
      </c>
      <c r="G120" s="8" t="s">
        <v>77</v>
      </c>
      <c r="H120" s="8" t="s">
        <v>91</v>
      </c>
      <c r="I120" s="8" t="s">
        <v>53</v>
      </c>
      <c r="J120" s="22" t="s">
        <v>49</v>
      </c>
      <c r="K120" s="8" t="s">
        <v>133</v>
      </c>
      <c r="L120" s="8" t="s">
        <v>113</v>
      </c>
      <c r="M120" s="8" t="s">
        <v>135</v>
      </c>
      <c r="N120" s="24">
        <v>2400</v>
      </c>
      <c r="O120" s="14">
        <v>0</v>
      </c>
      <c r="P120" s="14">
        <v>0</v>
      </c>
      <c r="Q120" s="26">
        <v>2400</v>
      </c>
      <c r="R120" s="11">
        <f>VLOOKUP(D120,[3]Sheet1!$E$1:$U$34,17,0)</f>
        <v>1200</v>
      </c>
      <c r="S120" s="15" t="s">
        <v>171</v>
      </c>
      <c r="T120" s="7" t="s">
        <v>532</v>
      </c>
      <c r="U120" s="7">
        <v>45895</v>
      </c>
      <c r="V120" s="7" t="s">
        <v>532</v>
      </c>
      <c r="W120" s="7">
        <v>45895</v>
      </c>
      <c r="X120" s="22" t="s">
        <v>50</v>
      </c>
      <c r="Y120" s="22"/>
      <c r="Z120" s="8"/>
      <c r="AA120" s="8"/>
      <c r="AB120" s="8"/>
      <c r="AC120" s="8"/>
      <c r="AD120" s="8"/>
      <c r="AE120" s="7">
        <v>45895</v>
      </c>
      <c r="AF120" s="23" t="s">
        <v>131</v>
      </c>
      <c r="AG120" s="23" t="s">
        <v>131</v>
      </c>
      <c r="AH120" s="23" t="s">
        <v>131</v>
      </c>
      <c r="AI120" s="23" t="s">
        <v>131</v>
      </c>
      <c r="AJ120" s="23" t="s">
        <v>131</v>
      </c>
      <c r="AK120" s="23" t="s">
        <v>131</v>
      </c>
      <c r="AL120" s="23" t="s">
        <v>131</v>
      </c>
      <c r="AM120" s="23">
        <v>2400</v>
      </c>
      <c r="AN120" s="24" t="s">
        <v>131</v>
      </c>
      <c r="AO120" s="11"/>
      <c r="AP120" s="14" t="s">
        <v>488</v>
      </c>
      <c r="AQ120" s="11"/>
      <c r="AR120" s="11"/>
      <c r="AS120" s="11">
        <f>N120-R120</f>
        <v>1200</v>
      </c>
      <c r="AT120" s="11"/>
      <c r="AU120" s="11"/>
      <c r="AV120" s="11"/>
      <c r="AW120" s="11"/>
      <c r="AX120" s="22" t="s">
        <v>131</v>
      </c>
      <c r="AY120" s="8" t="s">
        <v>529</v>
      </c>
      <c r="AZ120" s="8" t="s">
        <v>531</v>
      </c>
      <c r="BA120" s="8" t="s">
        <v>131</v>
      </c>
      <c r="BB120" s="8" t="s">
        <v>92</v>
      </c>
      <c r="BC120" s="8" t="s">
        <v>113</v>
      </c>
    </row>
    <row r="121" spans="1:55" x14ac:dyDescent="0.25">
      <c r="A121" s="22">
        <v>64</v>
      </c>
      <c r="B121" s="25">
        <v>45901</v>
      </c>
      <c r="C121" s="8" t="s">
        <v>533</v>
      </c>
      <c r="D121" s="8">
        <v>2133</v>
      </c>
      <c r="E121" s="22"/>
      <c r="F121" s="8" t="s">
        <v>535</v>
      </c>
      <c r="G121" s="8" t="s">
        <v>56</v>
      </c>
      <c r="H121" s="8" t="s">
        <v>78</v>
      </c>
      <c r="I121" s="8" t="s">
        <v>56</v>
      </c>
      <c r="J121" s="22" t="s">
        <v>49</v>
      </c>
      <c r="K121" s="8" t="s">
        <v>132</v>
      </c>
      <c r="L121" s="8" t="s">
        <v>113</v>
      </c>
      <c r="M121" s="8" t="s">
        <v>135</v>
      </c>
      <c r="N121" s="24">
        <v>18100</v>
      </c>
      <c r="O121" s="14">
        <v>0</v>
      </c>
      <c r="P121" s="14">
        <v>0</v>
      </c>
      <c r="Q121" s="26">
        <v>18100</v>
      </c>
      <c r="R121" s="11">
        <f>VLOOKUP(D121,[1]Sheet1!$B$1:$AJ$423,35,0)</f>
        <v>15000</v>
      </c>
      <c r="S121" s="15" t="s">
        <v>171</v>
      </c>
      <c r="T121" s="7" t="s">
        <v>131</v>
      </c>
      <c r="U121" s="7">
        <v>45897</v>
      </c>
      <c r="V121" s="7" t="s">
        <v>202</v>
      </c>
      <c r="W121" s="7">
        <v>45895</v>
      </c>
      <c r="X121" s="22" t="s">
        <v>50</v>
      </c>
      <c r="Y121" s="22"/>
      <c r="Z121" s="8"/>
      <c r="AA121" s="8"/>
      <c r="AB121" s="8"/>
      <c r="AC121" s="8"/>
      <c r="AD121" s="8"/>
      <c r="AE121" s="7">
        <v>45915</v>
      </c>
      <c r="AF121" s="23">
        <v>5400</v>
      </c>
      <c r="AG121" s="23">
        <v>6500</v>
      </c>
      <c r="AH121" s="23">
        <v>2000</v>
      </c>
      <c r="AI121" s="23">
        <v>700</v>
      </c>
      <c r="AJ121" s="23">
        <v>1500</v>
      </c>
      <c r="AK121" s="23">
        <v>2000</v>
      </c>
      <c r="AL121" s="23" t="s">
        <v>131</v>
      </c>
      <c r="AM121" s="23" t="s">
        <v>131</v>
      </c>
      <c r="AN121" s="24" t="s">
        <v>131</v>
      </c>
      <c r="AO121" s="11"/>
      <c r="AP121" s="14" t="s">
        <v>488</v>
      </c>
      <c r="AQ121" s="11"/>
      <c r="AR121" s="11"/>
      <c r="AS121" s="11">
        <f>N121-R121</f>
        <v>3100</v>
      </c>
      <c r="AT121" s="11"/>
      <c r="AU121" s="11"/>
      <c r="AV121" s="11"/>
      <c r="AW121" s="11"/>
      <c r="AX121" s="22" t="s">
        <v>131</v>
      </c>
      <c r="AY121" s="8" t="s">
        <v>534</v>
      </c>
      <c r="AZ121" s="8" t="s">
        <v>256</v>
      </c>
      <c r="BA121" s="8" t="s">
        <v>131</v>
      </c>
      <c r="BB121" s="8" t="s">
        <v>93</v>
      </c>
      <c r="BC121" s="8" t="s">
        <v>113</v>
      </c>
    </row>
    <row r="122" spans="1:55" x14ac:dyDescent="0.25">
      <c r="A122" s="22">
        <v>65</v>
      </c>
      <c r="B122" s="25">
        <v>45901</v>
      </c>
      <c r="C122" s="8" t="s">
        <v>536</v>
      </c>
      <c r="D122" s="8">
        <v>2136</v>
      </c>
      <c r="E122" s="22"/>
      <c r="F122" s="8" t="s">
        <v>537</v>
      </c>
      <c r="G122" s="8" t="s">
        <v>364</v>
      </c>
      <c r="H122" s="8" t="s">
        <v>78</v>
      </c>
      <c r="I122" s="8" t="s">
        <v>56</v>
      </c>
      <c r="J122" s="22" t="s">
        <v>49</v>
      </c>
      <c r="K122" s="8" t="s">
        <v>133</v>
      </c>
      <c r="L122" s="8" t="s">
        <v>113</v>
      </c>
      <c r="M122" s="8" t="s">
        <v>135</v>
      </c>
      <c r="N122" s="24">
        <v>20400</v>
      </c>
      <c r="O122" s="14">
        <v>0</v>
      </c>
      <c r="P122" s="14">
        <v>0</v>
      </c>
      <c r="Q122" s="26">
        <v>20400</v>
      </c>
      <c r="R122" s="11">
        <f>VLOOKUP(D122,[1]Sheet1!$B$1:$AJ$423,35,0)</f>
        <v>19000</v>
      </c>
      <c r="S122" s="15" t="s">
        <v>171</v>
      </c>
      <c r="T122" s="7" t="s">
        <v>131</v>
      </c>
      <c r="U122" s="7">
        <v>45901</v>
      </c>
      <c r="V122" s="7" t="s">
        <v>202</v>
      </c>
      <c r="W122" s="7">
        <v>45897</v>
      </c>
      <c r="X122" s="22" t="s">
        <v>50</v>
      </c>
      <c r="Y122" s="22"/>
      <c r="Z122" s="8"/>
      <c r="AA122" s="8"/>
      <c r="AB122" s="8"/>
      <c r="AC122" s="8"/>
      <c r="AD122" s="8"/>
      <c r="AE122" s="7">
        <v>45915</v>
      </c>
      <c r="AF122" s="23">
        <v>7700</v>
      </c>
      <c r="AG122" s="23">
        <v>6500</v>
      </c>
      <c r="AH122" s="23">
        <v>2000</v>
      </c>
      <c r="AI122" s="23">
        <v>700</v>
      </c>
      <c r="AJ122" s="23">
        <v>1500</v>
      </c>
      <c r="AK122" s="23">
        <v>2000</v>
      </c>
      <c r="AL122" s="23" t="s">
        <v>131</v>
      </c>
      <c r="AM122" s="23" t="s">
        <v>131</v>
      </c>
      <c r="AN122" s="24" t="s">
        <v>131</v>
      </c>
      <c r="AO122" s="11"/>
      <c r="AP122" s="14" t="s">
        <v>488</v>
      </c>
      <c r="AQ122" s="11"/>
      <c r="AR122" s="11"/>
      <c r="AS122" s="11">
        <f>N122-R122</f>
        <v>1400</v>
      </c>
      <c r="AT122" s="11"/>
      <c r="AU122" s="11"/>
      <c r="AV122" s="11"/>
      <c r="AW122" s="11"/>
      <c r="AX122" s="22" t="s">
        <v>131</v>
      </c>
      <c r="AY122" s="8">
        <v>60810392</v>
      </c>
      <c r="AZ122" s="8" t="s">
        <v>538</v>
      </c>
      <c r="BA122" s="8" t="s">
        <v>131</v>
      </c>
      <c r="BB122" s="8" t="s">
        <v>93</v>
      </c>
      <c r="BC122" s="8" t="s">
        <v>113</v>
      </c>
    </row>
    <row r="123" spans="1:55" x14ac:dyDescent="0.25">
      <c r="A123" s="22">
        <v>66</v>
      </c>
      <c r="B123" s="25">
        <v>45901</v>
      </c>
      <c r="C123" s="8" t="s">
        <v>539</v>
      </c>
      <c r="D123" s="8">
        <v>2137</v>
      </c>
      <c r="E123" s="22"/>
      <c r="F123" s="8" t="s">
        <v>540</v>
      </c>
      <c r="G123" s="8" t="s">
        <v>364</v>
      </c>
      <c r="H123" s="8" t="s">
        <v>78</v>
      </c>
      <c r="I123" s="8" t="s">
        <v>56</v>
      </c>
      <c r="J123" s="22" t="s">
        <v>49</v>
      </c>
      <c r="K123" s="8" t="s">
        <v>133</v>
      </c>
      <c r="L123" s="8" t="s">
        <v>113</v>
      </c>
      <c r="M123" s="8" t="s">
        <v>135</v>
      </c>
      <c r="N123" s="24">
        <v>20400</v>
      </c>
      <c r="O123" s="14">
        <v>0</v>
      </c>
      <c r="P123" s="26">
        <v>20400</v>
      </c>
      <c r="Q123" s="14">
        <v>0</v>
      </c>
      <c r="R123" s="11">
        <f>VLOOKUP(D123,[1]Sheet1!$B$1:$AJ$423,35,0)</f>
        <v>20000</v>
      </c>
      <c r="S123" s="11" t="s">
        <v>542</v>
      </c>
      <c r="T123" s="7" t="s">
        <v>131</v>
      </c>
      <c r="U123" s="7">
        <v>45901</v>
      </c>
      <c r="V123" s="7" t="s">
        <v>202</v>
      </c>
      <c r="W123" s="7">
        <v>45897</v>
      </c>
      <c r="X123" s="22" t="s">
        <v>50</v>
      </c>
      <c r="Y123" s="22"/>
      <c r="Z123" s="8"/>
      <c r="AA123" s="8"/>
      <c r="AB123" s="8"/>
      <c r="AC123" s="8"/>
      <c r="AD123" s="8"/>
      <c r="AE123" s="7">
        <v>45915</v>
      </c>
      <c r="AF123" s="23">
        <v>7700</v>
      </c>
      <c r="AG123" s="23">
        <v>6500</v>
      </c>
      <c r="AH123" s="23">
        <v>2000</v>
      </c>
      <c r="AI123" s="23">
        <v>700</v>
      </c>
      <c r="AJ123" s="23">
        <v>1500</v>
      </c>
      <c r="AK123" s="23">
        <v>2000</v>
      </c>
      <c r="AL123" s="23" t="s">
        <v>131</v>
      </c>
      <c r="AM123" s="23" t="s">
        <v>131</v>
      </c>
      <c r="AN123" s="24" t="s">
        <v>131</v>
      </c>
      <c r="AO123" s="11"/>
      <c r="AP123" s="14">
        <v>0</v>
      </c>
      <c r="AQ123" s="11" t="s">
        <v>306</v>
      </c>
      <c r="AR123" s="11"/>
      <c r="AS123" s="11">
        <f>N123-R123</f>
        <v>400</v>
      </c>
      <c r="AT123" s="11"/>
      <c r="AU123" s="11"/>
      <c r="AV123" s="11"/>
      <c r="AW123" s="11"/>
      <c r="AX123" s="22" t="s">
        <v>131</v>
      </c>
      <c r="AY123" s="8">
        <v>217320</v>
      </c>
      <c r="AZ123" s="8" t="s">
        <v>541</v>
      </c>
      <c r="BA123" s="8" t="s">
        <v>131</v>
      </c>
      <c r="BB123" s="8" t="s">
        <v>93</v>
      </c>
      <c r="BC123" s="8" t="s">
        <v>113</v>
      </c>
    </row>
    <row r="124" spans="1:55" x14ac:dyDescent="0.25">
      <c r="A124" s="22">
        <v>67</v>
      </c>
      <c r="B124" s="25">
        <v>45901</v>
      </c>
      <c r="C124" s="8" t="s">
        <v>543</v>
      </c>
      <c r="D124" s="8">
        <v>2141</v>
      </c>
      <c r="E124" s="22"/>
      <c r="F124" s="8" t="s">
        <v>545</v>
      </c>
      <c r="G124" s="8" t="s">
        <v>77</v>
      </c>
      <c r="H124" s="8" t="s">
        <v>91</v>
      </c>
      <c r="I124" s="8" t="s">
        <v>53</v>
      </c>
      <c r="J124" s="22" t="s">
        <v>49</v>
      </c>
      <c r="K124" s="8" t="s">
        <v>133</v>
      </c>
      <c r="L124" s="8" t="s">
        <v>113</v>
      </c>
      <c r="M124" s="8" t="s">
        <v>135</v>
      </c>
      <c r="N124" s="24">
        <v>20400</v>
      </c>
      <c r="O124" s="14">
        <v>0</v>
      </c>
      <c r="P124" s="14">
        <v>0</v>
      </c>
      <c r="Q124" s="26">
        <f>N124</f>
        <v>20400</v>
      </c>
      <c r="R124" s="11">
        <f>VLOOKUP(D124,[1]Sheet1!$B$1:$AJ$423,35,0)</f>
        <v>19000</v>
      </c>
      <c r="S124" s="11" t="s">
        <v>131</v>
      </c>
      <c r="T124" s="7" t="s">
        <v>131</v>
      </c>
      <c r="U124" s="7">
        <v>45902</v>
      </c>
      <c r="V124" s="7" t="s">
        <v>202</v>
      </c>
      <c r="W124" s="7">
        <v>45901</v>
      </c>
      <c r="X124" s="22" t="s">
        <v>50</v>
      </c>
      <c r="Y124" s="22"/>
      <c r="Z124" s="8"/>
      <c r="AA124" s="8"/>
      <c r="AB124" s="8"/>
      <c r="AC124" s="8"/>
      <c r="AD124" s="8"/>
      <c r="AE124" s="7" t="s">
        <v>131</v>
      </c>
      <c r="AF124" s="23">
        <v>7700</v>
      </c>
      <c r="AG124" s="23">
        <v>2300</v>
      </c>
      <c r="AH124" s="23">
        <v>2000</v>
      </c>
      <c r="AI124" s="23">
        <v>700</v>
      </c>
      <c r="AJ124" s="23">
        <v>1500</v>
      </c>
      <c r="AK124" s="23">
        <v>2000</v>
      </c>
      <c r="AL124" s="23" t="s">
        <v>131</v>
      </c>
      <c r="AM124" s="23" t="s">
        <v>131</v>
      </c>
      <c r="AN124" s="24" t="s">
        <v>131</v>
      </c>
      <c r="AO124" s="11"/>
      <c r="AP124" s="14" t="s">
        <v>488</v>
      </c>
      <c r="AQ124" s="11" t="s">
        <v>505</v>
      </c>
      <c r="AR124" s="11"/>
      <c r="AS124" s="11">
        <f>N124-R124</f>
        <v>1400</v>
      </c>
      <c r="AT124" s="11"/>
      <c r="AU124" s="11"/>
      <c r="AV124" s="11"/>
      <c r="AW124" s="11"/>
      <c r="AX124" s="22" t="s">
        <v>131</v>
      </c>
      <c r="AY124" s="8" t="s">
        <v>544</v>
      </c>
      <c r="AZ124" s="8" t="s">
        <v>546</v>
      </c>
      <c r="BA124" s="8" t="s">
        <v>131</v>
      </c>
      <c r="BB124" s="8" t="s">
        <v>92</v>
      </c>
      <c r="BC124" s="8" t="s">
        <v>113</v>
      </c>
    </row>
    <row r="125" spans="1:55" x14ac:dyDescent="0.25">
      <c r="A125" s="22">
        <v>68</v>
      </c>
      <c r="B125" s="25">
        <v>45901</v>
      </c>
      <c r="C125" s="8" t="s">
        <v>547</v>
      </c>
      <c r="D125" s="8">
        <v>2145</v>
      </c>
      <c r="E125" s="22"/>
      <c r="F125" s="8" t="s">
        <v>549</v>
      </c>
      <c r="G125" s="8" t="s">
        <v>364</v>
      </c>
      <c r="H125" s="8" t="s">
        <v>78</v>
      </c>
      <c r="I125" s="8" t="s">
        <v>56</v>
      </c>
      <c r="J125" s="22" t="s">
        <v>49</v>
      </c>
      <c r="K125" s="8" t="s">
        <v>133</v>
      </c>
      <c r="L125" s="8" t="s">
        <v>113</v>
      </c>
      <c r="M125" s="8" t="s">
        <v>135</v>
      </c>
      <c r="N125" s="24">
        <v>20400</v>
      </c>
      <c r="O125" s="14">
        <v>0</v>
      </c>
      <c r="P125" s="14">
        <v>0</v>
      </c>
      <c r="Q125" s="26">
        <v>20400</v>
      </c>
      <c r="R125" s="11">
        <f>VLOOKUP(D125,[1]Sheet1!$B$1:$AJ$423,35,0)</f>
        <v>19000</v>
      </c>
      <c r="S125" s="15" t="s">
        <v>171</v>
      </c>
      <c r="T125" s="7" t="s">
        <v>131</v>
      </c>
      <c r="U125" s="7">
        <v>45901</v>
      </c>
      <c r="V125" s="7" t="s">
        <v>202</v>
      </c>
      <c r="W125" s="7">
        <v>45897</v>
      </c>
      <c r="X125" s="22" t="s">
        <v>50</v>
      </c>
      <c r="Y125" s="22"/>
      <c r="Z125" s="8"/>
      <c r="AA125" s="8"/>
      <c r="AB125" s="8"/>
      <c r="AC125" s="8"/>
      <c r="AD125" s="8"/>
      <c r="AE125" s="7">
        <v>45915</v>
      </c>
      <c r="AF125" s="23">
        <v>7700</v>
      </c>
      <c r="AG125" s="23">
        <v>6500</v>
      </c>
      <c r="AH125" s="23">
        <v>2000</v>
      </c>
      <c r="AI125" s="23">
        <v>700</v>
      </c>
      <c r="AJ125" s="23">
        <v>1500</v>
      </c>
      <c r="AK125" s="23">
        <v>2000</v>
      </c>
      <c r="AL125" s="23" t="s">
        <v>131</v>
      </c>
      <c r="AM125" s="23" t="s">
        <v>131</v>
      </c>
      <c r="AN125" s="24" t="s">
        <v>131</v>
      </c>
      <c r="AO125" s="11"/>
      <c r="AP125" s="14" t="s">
        <v>488</v>
      </c>
      <c r="AQ125" s="11"/>
      <c r="AR125" s="11"/>
      <c r="AS125" s="11">
        <f>N125-R125</f>
        <v>1400</v>
      </c>
      <c r="AT125" s="11"/>
      <c r="AU125" s="11"/>
      <c r="AV125" s="11"/>
      <c r="AW125" s="11"/>
      <c r="AX125" s="22" t="s">
        <v>131</v>
      </c>
      <c r="AY125" s="8" t="s">
        <v>548</v>
      </c>
      <c r="AZ125" s="8" t="s">
        <v>550</v>
      </c>
      <c r="BA125" s="8" t="s">
        <v>131</v>
      </c>
      <c r="BB125" s="8" t="s">
        <v>93</v>
      </c>
      <c r="BC125" s="8" t="s">
        <v>113</v>
      </c>
    </row>
    <row r="126" spans="1:55" x14ac:dyDescent="0.25">
      <c r="A126" s="22">
        <v>69</v>
      </c>
      <c r="B126" s="25">
        <v>45901</v>
      </c>
      <c r="C126" s="8" t="s">
        <v>551</v>
      </c>
      <c r="D126" s="8">
        <v>2146</v>
      </c>
      <c r="E126" s="22"/>
      <c r="F126" s="8" t="s">
        <v>552</v>
      </c>
      <c r="G126" s="8" t="s">
        <v>364</v>
      </c>
      <c r="H126" s="8" t="s">
        <v>78</v>
      </c>
      <c r="I126" s="8" t="s">
        <v>56</v>
      </c>
      <c r="J126" s="22" t="s">
        <v>49</v>
      </c>
      <c r="K126" s="8" t="s">
        <v>133</v>
      </c>
      <c r="L126" s="8" t="s">
        <v>113</v>
      </c>
      <c r="M126" s="8" t="s">
        <v>135</v>
      </c>
      <c r="N126" s="24">
        <v>20400</v>
      </c>
      <c r="O126" s="14">
        <v>0</v>
      </c>
      <c r="P126" s="14">
        <v>0</v>
      </c>
      <c r="Q126" s="26">
        <v>20400</v>
      </c>
      <c r="R126" s="11">
        <f>VLOOKUP(D126,[1]Sheet1!$B$1:$AJ$423,35,0)</f>
        <v>19000</v>
      </c>
      <c r="S126" s="15" t="s">
        <v>171</v>
      </c>
      <c r="T126" s="7" t="s">
        <v>131</v>
      </c>
      <c r="U126" s="7">
        <v>45901</v>
      </c>
      <c r="V126" s="7" t="s">
        <v>202</v>
      </c>
      <c r="W126" s="7">
        <v>45897</v>
      </c>
      <c r="X126" s="22" t="s">
        <v>50</v>
      </c>
      <c r="Y126" s="22"/>
      <c r="Z126" s="8"/>
      <c r="AA126" s="8"/>
      <c r="AB126" s="8"/>
      <c r="AC126" s="8"/>
      <c r="AD126" s="8"/>
      <c r="AE126" s="7">
        <v>45915</v>
      </c>
      <c r="AF126" s="23">
        <v>7700</v>
      </c>
      <c r="AG126" s="23">
        <v>6500</v>
      </c>
      <c r="AH126" s="23">
        <v>2000</v>
      </c>
      <c r="AI126" s="23">
        <v>700</v>
      </c>
      <c r="AJ126" s="23">
        <v>1500</v>
      </c>
      <c r="AK126" s="23">
        <v>2000</v>
      </c>
      <c r="AL126" s="23" t="s">
        <v>131</v>
      </c>
      <c r="AM126" s="23" t="s">
        <v>131</v>
      </c>
      <c r="AN126" s="24" t="s">
        <v>131</v>
      </c>
      <c r="AO126" s="11"/>
      <c r="AP126" s="14" t="s">
        <v>488</v>
      </c>
      <c r="AQ126" s="11"/>
      <c r="AR126" s="11"/>
      <c r="AS126" s="11">
        <f>N126-R126</f>
        <v>1400</v>
      </c>
      <c r="AT126" s="11"/>
      <c r="AU126" s="11"/>
      <c r="AV126" s="11"/>
      <c r="AW126" s="11"/>
      <c r="AX126" s="22" t="s">
        <v>131</v>
      </c>
      <c r="AY126" s="8">
        <v>52051847</v>
      </c>
      <c r="AZ126" s="8" t="s">
        <v>550</v>
      </c>
      <c r="BA126" s="8" t="s">
        <v>131</v>
      </c>
      <c r="BB126" s="8" t="s">
        <v>93</v>
      </c>
      <c r="BC126" s="8" t="s">
        <v>113</v>
      </c>
    </row>
    <row r="127" spans="1:55" x14ac:dyDescent="0.25">
      <c r="A127" s="22">
        <v>70</v>
      </c>
      <c r="B127" s="25">
        <v>45901</v>
      </c>
      <c r="C127" s="8" t="s">
        <v>553</v>
      </c>
      <c r="D127" s="8">
        <v>2162</v>
      </c>
      <c r="E127" s="22"/>
      <c r="F127" s="8" t="s">
        <v>555</v>
      </c>
      <c r="G127" s="8" t="s">
        <v>464</v>
      </c>
      <c r="H127" s="8" t="s">
        <v>78</v>
      </c>
      <c r="I127" s="8" t="s">
        <v>56</v>
      </c>
      <c r="J127" s="22" t="s">
        <v>49</v>
      </c>
      <c r="K127" s="8" t="s">
        <v>133</v>
      </c>
      <c r="L127" s="8" t="s">
        <v>113</v>
      </c>
      <c r="M127" s="8" t="s">
        <v>135</v>
      </c>
      <c r="N127" s="24">
        <v>20400</v>
      </c>
      <c r="O127" s="14">
        <v>0</v>
      </c>
      <c r="P127" s="14">
        <v>0</v>
      </c>
      <c r="Q127" s="26">
        <v>20400</v>
      </c>
      <c r="R127" s="11">
        <f>VLOOKUP(D127,[1]Sheet1!$B$1:$AJ$423,35,0)</f>
        <v>18000</v>
      </c>
      <c r="S127" s="15" t="s">
        <v>171</v>
      </c>
      <c r="T127" s="7" t="s">
        <v>131</v>
      </c>
      <c r="U127" s="7">
        <v>45908</v>
      </c>
      <c r="V127" s="7" t="s">
        <v>202</v>
      </c>
      <c r="W127" s="7">
        <v>45904</v>
      </c>
      <c r="X127" s="22" t="s">
        <v>50</v>
      </c>
      <c r="Y127" s="22"/>
      <c r="Z127" s="8"/>
      <c r="AA127" s="8"/>
      <c r="AB127" s="8"/>
      <c r="AC127" s="8"/>
      <c r="AD127" s="8"/>
      <c r="AE127" s="7">
        <v>45915</v>
      </c>
      <c r="AF127" s="23">
        <v>7700</v>
      </c>
      <c r="AG127" s="23">
        <v>6500</v>
      </c>
      <c r="AH127" s="23">
        <v>2000</v>
      </c>
      <c r="AI127" s="23">
        <v>700</v>
      </c>
      <c r="AJ127" s="23">
        <v>1500</v>
      </c>
      <c r="AK127" s="23">
        <v>2000</v>
      </c>
      <c r="AL127" s="23" t="s">
        <v>131</v>
      </c>
      <c r="AM127" s="23" t="s">
        <v>131</v>
      </c>
      <c r="AN127" s="24" t="s">
        <v>131</v>
      </c>
      <c r="AO127" s="11"/>
      <c r="AP127" s="14" t="s">
        <v>488</v>
      </c>
      <c r="AQ127" s="11"/>
      <c r="AR127" s="11"/>
      <c r="AS127" s="11">
        <f>N127-R127</f>
        <v>2400</v>
      </c>
      <c r="AT127" s="11"/>
      <c r="AU127" s="11"/>
      <c r="AV127" s="11"/>
      <c r="AW127" s="11"/>
      <c r="AX127" s="22" t="s">
        <v>131</v>
      </c>
      <c r="AY127" s="8" t="s">
        <v>554</v>
      </c>
      <c r="AZ127" s="8" t="s">
        <v>556</v>
      </c>
      <c r="BA127" s="8" t="s">
        <v>131</v>
      </c>
      <c r="BB127" s="8" t="s">
        <v>93</v>
      </c>
      <c r="BC127" s="8" t="s">
        <v>113</v>
      </c>
    </row>
    <row r="128" spans="1:55" x14ac:dyDescent="0.25">
      <c r="A128" s="22">
        <v>71</v>
      </c>
      <c r="B128" s="25">
        <v>45901</v>
      </c>
      <c r="C128" s="8" t="s">
        <v>557</v>
      </c>
      <c r="D128" s="8">
        <v>2163</v>
      </c>
      <c r="E128" s="22"/>
      <c r="F128" s="8" t="s">
        <v>558</v>
      </c>
      <c r="G128" s="8" t="s">
        <v>464</v>
      </c>
      <c r="H128" s="8" t="s">
        <v>78</v>
      </c>
      <c r="I128" s="8" t="s">
        <v>56</v>
      </c>
      <c r="J128" s="22" t="s">
        <v>49</v>
      </c>
      <c r="K128" s="8" t="s">
        <v>133</v>
      </c>
      <c r="L128" s="8" t="s">
        <v>113</v>
      </c>
      <c r="M128" s="8" t="s">
        <v>135</v>
      </c>
      <c r="N128" s="24">
        <v>20400</v>
      </c>
      <c r="O128" s="14">
        <v>0</v>
      </c>
      <c r="P128" s="14">
        <v>0</v>
      </c>
      <c r="Q128" s="26">
        <f>N128</f>
        <v>20400</v>
      </c>
      <c r="R128" s="11">
        <f>VLOOKUP(D128,[1]Sheet1!$B$1:$AJ$423,35,0)</f>
        <v>18000</v>
      </c>
      <c r="S128" s="11" t="s">
        <v>131</v>
      </c>
      <c r="T128" s="7" t="s">
        <v>131</v>
      </c>
      <c r="U128" s="7">
        <v>45906</v>
      </c>
      <c r="V128" s="7" t="s">
        <v>202</v>
      </c>
      <c r="W128" s="7">
        <v>45904</v>
      </c>
      <c r="X128" s="22" t="s">
        <v>50</v>
      </c>
      <c r="Y128" s="22"/>
      <c r="Z128" s="8"/>
      <c r="AA128" s="8"/>
      <c r="AB128" s="8"/>
      <c r="AC128" s="8"/>
      <c r="AD128" s="8"/>
      <c r="AE128" s="7" t="s">
        <v>131</v>
      </c>
      <c r="AF128" s="23">
        <v>7700</v>
      </c>
      <c r="AG128" s="23">
        <v>2300</v>
      </c>
      <c r="AH128" s="23">
        <v>2000</v>
      </c>
      <c r="AI128" s="23">
        <v>700</v>
      </c>
      <c r="AJ128" s="23">
        <v>1500</v>
      </c>
      <c r="AK128" s="23">
        <v>2000</v>
      </c>
      <c r="AL128" s="23" t="s">
        <v>131</v>
      </c>
      <c r="AM128" s="23" t="s">
        <v>131</v>
      </c>
      <c r="AN128" s="24" t="s">
        <v>131</v>
      </c>
      <c r="AO128" s="11"/>
      <c r="AP128" s="14" t="s">
        <v>488</v>
      </c>
      <c r="AQ128" s="11" t="s">
        <v>505</v>
      </c>
      <c r="AR128" s="11"/>
      <c r="AS128" s="11">
        <f>N128-R128</f>
        <v>2400</v>
      </c>
      <c r="AT128" s="11"/>
      <c r="AU128" s="11"/>
      <c r="AV128" s="11"/>
      <c r="AW128" s="11"/>
      <c r="AX128" s="22" t="s">
        <v>131</v>
      </c>
      <c r="AY128" s="8">
        <v>60813635</v>
      </c>
      <c r="AZ128" s="8" t="s">
        <v>559</v>
      </c>
      <c r="BA128" s="8" t="s">
        <v>131</v>
      </c>
      <c r="BB128" s="8" t="s">
        <v>93</v>
      </c>
      <c r="BC128" s="8" t="s">
        <v>113</v>
      </c>
    </row>
    <row r="129" spans="1:55" x14ac:dyDescent="0.25">
      <c r="A129" s="22">
        <v>72</v>
      </c>
      <c r="B129" s="25">
        <v>45901</v>
      </c>
      <c r="C129" s="8" t="s">
        <v>560</v>
      </c>
      <c r="D129" s="8">
        <v>2172</v>
      </c>
      <c r="E129" s="22"/>
      <c r="F129" s="8" t="s">
        <v>562</v>
      </c>
      <c r="G129" s="8" t="s">
        <v>56</v>
      </c>
      <c r="H129" s="8" t="s">
        <v>78</v>
      </c>
      <c r="I129" s="8" t="s">
        <v>56</v>
      </c>
      <c r="J129" s="22" t="s">
        <v>49</v>
      </c>
      <c r="K129" s="8" t="s">
        <v>132</v>
      </c>
      <c r="L129" s="8" t="s">
        <v>113</v>
      </c>
      <c r="M129" s="8" t="s">
        <v>135</v>
      </c>
      <c r="N129" s="24">
        <v>18100</v>
      </c>
      <c r="O129" s="14">
        <v>0</v>
      </c>
      <c r="P129" s="14">
        <v>0</v>
      </c>
      <c r="Q129" s="26">
        <v>18100</v>
      </c>
      <c r="R129" s="11">
        <f>VLOOKUP(D129,[1]Sheet1!$B$1:$AJ$423,35,0)</f>
        <v>15000</v>
      </c>
      <c r="S129" s="15" t="s">
        <v>171</v>
      </c>
      <c r="T129" s="7" t="s">
        <v>131</v>
      </c>
      <c r="U129" s="7">
        <v>45910</v>
      </c>
      <c r="V129" s="7" t="s">
        <v>202</v>
      </c>
      <c r="W129" s="7">
        <v>45908</v>
      </c>
      <c r="X129" s="22" t="s">
        <v>50</v>
      </c>
      <c r="Y129" s="22"/>
      <c r="Z129" s="8"/>
      <c r="AA129" s="8"/>
      <c r="AB129" s="8"/>
      <c r="AC129" s="8"/>
      <c r="AD129" s="8"/>
      <c r="AE129" s="7">
        <v>45915</v>
      </c>
      <c r="AF129" s="23">
        <v>5400</v>
      </c>
      <c r="AG129" s="23">
        <v>6500</v>
      </c>
      <c r="AH129" s="23">
        <v>2000</v>
      </c>
      <c r="AI129" s="23">
        <v>700</v>
      </c>
      <c r="AJ129" s="23">
        <v>1500</v>
      </c>
      <c r="AK129" s="23">
        <v>2000</v>
      </c>
      <c r="AL129" s="23" t="s">
        <v>131</v>
      </c>
      <c r="AM129" s="23" t="s">
        <v>131</v>
      </c>
      <c r="AN129" s="24" t="s">
        <v>131</v>
      </c>
      <c r="AO129" s="11"/>
      <c r="AP129" s="14" t="s">
        <v>488</v>
      </c>
      <c r="AQ129" s="11"/>
      <c r="AR129" s="11"/>
      <c r="AS129" s="11">
        <f>N129-R129</f>
        <v>3100</v>
      </c>
      <c r="AT129" s="11"/>
      <c r="AU129" s="11"/>
      <c r="AV129" s="11"/>
      <c r="AW129" s="11"/>
      <c r="AX129" s="22" t="s">
        <v>131</v>
      </c>
      <c r="AY129" s="8" t="s">
        <v>561</v>
      </c>
      <c r="AZ129" s="8" t="s">
        <v>236</v>
      </c>
      <c r="BA129" s="8" t="s">
        <v>131</v>
      </c>
      <c r="BB129" s="8" t="s">
        <v>93</v>
      </c>
      <c r="BC129" s="8" t="s">
        <v>113</v>
      </c>
    </row>
    <row r="130" spans="1:55" x14ac:dyDescent="0.25">
      <c r="A130" s="22">
        <v>73</v>
      </c>
      <c r="B130" s="25">
        <v>45901</v>
      </c>
      <c r="C130" s="8" t="s">
        <v>563</v>
      </c>
      <c r="D130" s="8">
        <v>2179</v>
      </c>
      <c r="E130" s="22"/>
      <c r="F130" s="8" t="s">
        <v>565</v>
      </c>
      <c r="G130" s="8" t="s">
        <v>464</v>
      </c>
      <c r="H130" s="8" t="s">
        <v>78</v>
      </c>
      <c r="I130" s="8" t="s">
        <v>56</v>
      </c>
      <c r="J130" s="22" t="s">
        <v>49</v>
      </c>
      <c r="K130" s="8" t="s">
        <v>133</v>
      </c>
      <c r="L130" s="8" t="s">
        <v>113</v>
      </c>
      <c r="M130" s="8" t="s">
        <v>135</v>
      </c>
      <c r="N130" s="24">
        <v>1200</v>
      </c>
      <c r="O130" s="14">
        <v>0</v>
      </c>
      <c r="P130" s="14">
        <v>0</v>
      </c>
      <c r="Q130" s="26">
        <v>1200</v>
      </c>
      <c r="R130" s="11">
        <f>VLOOKUP(D130,[1]Sheet1!$B$1:$AJ$423,35,0)</f>
        <v>2000</v>
      </c>
      <c r="S130" s="15" t="s">
        <v>171</v>
      </c>
      <c r="T130" s="7" t="s">
        <v>323</v>
      </c>
      <c r="U130" s="7" t="s">
        <v>323</v>
      </c>
      <c r="V130" s="7" t="s">
        <v>323</v>
      </c>
      <c r="W130" s="7">
        <v>45911</v>
      </c>
      <c r="X130" s="22" t="s">
        <v>50</v>
      </c>
      <c r="Y130" s="22"/>
      <c r="Z130" s="8"/>
      <c r="AA130" s="8"/>
      <c r="AB130" s="8"/>
      <c r="AC130" s="8"/>
      <c r="AD130" s="8"/>
      <c r="AE130" s="7" t="s">
        <v>323</v>
      </c>
      <c r="AF130" s="23" t="s">
        <v>131</v>
      </c>
      <c r="AG130" s="23" t="s">
        <v>131</v>
      </c>
      <c r="AH130" s="23" t="s">
        <v>131</v>
      </c>
      <c r="AI130" s="23" t="s">
        <v>131</v>
      </c>
      <c r="AJ130" s="23" t="s">
        <v>131</v>
      </c>
      <c r="AK130" s="23" t="s">
        <v>131</v>
      </c>
      <c r="AL130" s="23" t="s">
        <v>131</v>
      </c>
      <c r="AM130" s="23">
        <v>1200</v>
      </c>
      <c r="AN130" s="24" t="s">
        <v>131</v>
      </c>
      <c r="AO130" s="11"/>
      <c r="AP130" s="14" t="s">
        <v>488</v>
      </c>
      <c r="AQ130" s="11" t="s">
        <v>323</v>
      </c>
      <c r="AR130" s="11"/>
      <c r="AS130" s="11">
        <f>N130-R130</f>
        <v>-800</v>
      </c>
      <c r="AT130" s="11"/>
      <c r="AU130" s="11"/>
      <c r="AV130" s="11"/>
      <c r="AW130" s="11"/>
      <c r="AX130" s="22" t="s">
        <v>131</v>
      </c>
      <c r="AY130" s="8" t="s">
        <v>564</v>
      </c>
      <c r="AZ130" s="8" t="s">
        <v>566</v>
      </c>
      <c r="BA130" s="8" t="s">
        <v>131</v>
      </c>
      <c r="BB130" s="8" t="s">
        <v>93</v>
      </c>
      <c r="BC130" s="8" t="s">
        <v>113</v>
      </c>
    </row>
    <row r="131" spans="1:55" x14ac:dyDescent="0.25">
      <c r="A131" s="22">
        <v>74</v>
      </c>
      <c r="B131" s="25">
        <v>45901</v>
      </c>
      <c r="C131" s="8" t="s">
        <v>567</v>
      </c>
      <c r="D131" s="8">
        <v>2189</v>
      </c>
      <c r="E131" s="22"/>
      <c r="F131" s="8" t="s">
        <v>569</v>
      </c>
      <c r="G131" s="8" t="s">
        <v>53</v>
      </c>
      <c r="H131" s="8" t="s">
        <v>91</v>
      </c>
      <c r="I131" s="8" t="s">
        <v>53</v>
      </c>
      <c r="J131" s="22" t="s">
        <v>49</v>
      </c>
      <c r="K131" s="8" t="s">
        <v>134</v>
      </c>
      <c r="L131" s="8" t="s">
        <v>113</v>
      </c>
      <c r="M131" s="8" t="s">
        <v>135</v>
      </c>
      <c r="N131" s="24">
        <v>12500</v>
      </c>
      <c r="O131" s="26">
        <v>12500</v>
      </c>
      <c r="P131" s="14">
        <v>0</v>
      </c>
      <c r="Q131" s="14">
        <v>0</v>
      </c>
      <c r="R131" s="11">
        <f>VLOOKUP(D131,[2]Sheet1!$C$1:$T$74,18,0)</f>
        <v>11300</v>
      </c>
      <c r="S131" s="15" t="s">
        <v>492</v>
      </c>
      <c r="T131" s="7" t="s">
        <v>131</v>
      </c>
      <c r="U131" s="7">
        <v>45914</v>
      </c>
      <c r="V131" s="7" t="s">
        <v>202</v>
      </c>
      <c r="W131" s="7">
        <v>45912</v>
      </c>
      <c r="X131" s="22" t="s">
        <v>50</v>
      </c>
      <c r="Y131" s="22"/>
      <c r="Z131" s="8"/>
      <c r="AA131" s="8"/>
      <c r="AB131" s="8"/>
      <c r="AC131" s="8"/>
      <c r="AD131" s="8"/>
      <c r="AE131" s="7" t="s">
        <v>131</v>
      </c>
      <c r="AF131" s="23">
        <v>4000</v>
      </c>
      <c r="AG131" s="23">
        <v>2300</v>
      </c>
      <c r="AH131" s="27">
        <v>2000</v>
      </c>
      <c r="AI131" s="23">
        <v>700</v>
      </c>
      <c r="AJ131" s="23">
        <v>1500</v>
      </c>
      <c r="AK131" s="23">
        <v>2000</v>
      </c>
      <c r="AL131" s="23" t="s">
        <v>131</v>
      </c>
      <c r="AM131" s="23" t="s">
        <v>131</v>
      </c>
      <c r="AN131" s="24" t="s">
        <v>131</v>
      </c>
      <c r="AO131" s="11"/>
      <c r="AP131" s="14" t="s">
        <v>488</v>
      </c>
      <c r="AQ131" s="11" t="s">
        <v>306</v>
      </c>
      <c r="AR131" s="11"/>
      <c r="AS131" s="11">
        <f>N131-R131</f>
        <v>1200</v>
      </c>
      <c r="AT131" s="11"/>
      <c r="AU131" s="11"/>
      <c r="AV131" s="11"/>
      <c r="AW131" s="11"/>
      <c r="AX131" s="22" t="s">
        <v>131</v>
      </c>
      <c r="AY131" s="8" t="s">
        <v>568</v>
      </c>
      <c r="AZ131" s="8" t="s">
        <v>299</v>
      </c>
      <c r="BA131" s="8" t="s">
        <v>131</v>
      </c>
      <c r="BB131" s="8" t="s">
        <v>92</v>
      </c>
      <c r="BC131" s="8" t="s">
        <v>113</v>
      </c>
    </row>
    <row r="132" spans="1:55" x14ac:dyDescent="0.25">
      <c r="A132" s="22">
        <v>75</v>
      </c>
      <c r="B132" s="25">
        <v>45901</v>
      </c>
      <c r="C132" s="8" t="s">
        <v>570</v>
      </c>
      <c r="D132" s="8">
        <v>2199</v>
      </c>
      <c r="E132" s="22"/>
      <c r="F132" s="8" t="s">
        <v>572</v>
      </c>
      <c r="G132" s="8" t="s">
        <v>77</v>
      </c>
      <c r="H132" s="8" t="s">
        <v>91</v>
      </c>
      <c r="I132" s="8" t="s">
        <v>53</v>
      </c>
      <c r="J132" s="22" t="s">
        <v>49</v>
      </c>
      <c r="K132" s="8" t="s">
        <v>133</v>
      </c>
      <c r="L132" s="8" t="s">
        <v>113</v>
      </c>
      <c r="M132" s="8" t="s">
        <v>135</v>
      </c>
      <c r="N132" s="24">
        <v>20400</v>
      </c>
      <c r="O132" s="14">
        <v>0</v>
      </c>
      <c r="P132" s="14">
        <v>0</v>
      </c>
      <c r="Q132" s="26">
        <f>N132</f>
        <v>20400</v>
      </c>
      <c r="R132" s="11">
        <f>VLOOKUP(D132,[1]Sheet1!$B$1:$AJ$423,35,0)</f>
        <v>19000</v>
      </c>
      <c r="S132" s="11" t="s">
        <v>131</v>
      </c>
      <c r="T132" s="7" t="s">
        <v>131</v>
      </c>
      <c r="U132" s="7">
        <v>45915</v>
      </c>
      <c r="V132" s="7" t="s">
        <v>574</v>
      </c>
      <c r="W132" s="7">
        <v>45912</v>
      </c>
      <c r="X132" s="22" t="s">
        <v>50</v>
      </c>
      <c r="Y132" s="22"/>
      <c r="Z132" s="8"/>
      <c r="AA132" s="8"/>
      <c r="AB132" s="8"/>
      <c r="AC132" s="8"/>
      <c r="AD132" s="8"/>
      <c r="AE132" s="7" t="s">
        <v>131</v>
      </c>
      <c r="AF132" s="23">
        <v>7700</v>
      </c>
      <c r="AG132" s="23">
        <v>2300</v>
      </c>
      <c r="AH132" s="23">
        <v>2000</v>
      </c>
      <c r="AI132" s="23">
        <v>700</v>
      </c>
      <c r="AJ132" s="23">
        <v>1500</v>
      </c>
      <c r="AK132" s="23">
        <v>2000</v>
      </c>
      <c r="AL132" s="23" t="s">
        <v>131</v>
      </c>
      <c r="AM132" s="23" t="s">
        <v>131</v>
      </c>
      <c r="AN132" s="24" t="s">
        <v>131</v>
      </c>
      <c r="AO132" s="11"/>
      <c r="AP132" s="14" t="s">
        <v>488</v>
      </c>
      <c r="AQ132" s="11" t="s">
        <v>505</v>
      </c>
      <c r="AR132" s="11"/>
      <c r="AS132" s="11">
        <f>N132-R132</f>
        <v>1400</v>
      </c>
      <c r="AT132" s="11"/>
      <c r="AU132" s="11"/>
      <c r="AV132" s="11"/>
      <c r="AW132" s="11"/>
      <c r="AX132" s="22" t="s">
        <v>131</v>
      </c>
      <c r="AY132" s="8" t="s">
        <v>571</v>
      </c>
      <c r="AZ132" s="8" t="s">
        <v>573</v>
      </c>
      <c r="BA132" s="8" t="s">
        <v>131</v>
      </c>
      <c r="BB132" s="8" t="s">
        <v>92</v>
      </c>
      <c r="BC132" s="8" t="s">
        <v>113</v>
      </c>
    </row>
    <row r="133" spans="1:55" x14ac:dyDescent="0.25">
      <c r="A133" s="11"/>
      <c r="B133" s="2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9">
        <f>SUM(N2:N132)</f>
        <v>1953000</v>
      </c>
      <c r="O133" s="29"/>
      <c r="P133" s="29"/>
      <c r="Q133" s="29"/>
      <c r="R133" s="29">
        <f>SUM(R2:R132)</f>
        <v>1754700</v>
      </c>
      <c r="S133" s="29"/>
      <c r="T133" s="29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29"/>
      <c r="AO133" s="29"/>
      <c r="AP133" s="29"/>
      <c r="AQ133" s="29"/>
      <c r="AR133" s="29"/>
      <c r="AS133" s="29">
        <f>SUM(AS2:AS132)</f>
        <v>324100</v>
      </c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</sheetData>
  <conditionalFormatting sqref="D25">
    <cfRule type="duplicateValues" dxfId="56" priority="66"/>
    <cfRule type="duplicateValues" dxfId="55" priority="67"/>
  </conditionalFormatting>
  <conditionalFormatting sqref="C1">
    <cfRule type="duplicateValues" dxfId="54" priority="70"/>
    <cfRule type="duplicateValues" dxfId="53" priority="71"/>
    <cfRule type="duplicateValues" dxfId="52" priority="72"/>
  </conditionalFormatting>
  <conditionalFormatting sqref="C2:C16 C20:C25">
    <cfRule type="duplicateValues" dxfId="51" priority="68"/>
  </conditionalFormatting>
  <conditionalFormatting sqref="C2:C25">
    <cfRule type="duplicateValues" dxfId="50" priority="65"/>
  </conditionalFormatting>
  <conditionalFormatting sqref="C20:C25">
    <cfRule type="duplicateValues" dxfId="49" priority="69"/>
  </conditionalFormatting>
  <conditionalFormatting sqref="D31:D38">
    <cfRule type="duplicateValues" dxfId="48" priority="54"/>
    <cfRule type="duplicateValues" dxfId="47" priority="55"/>
  </conditionalFormatting>
  <conditionalFormatting sqref="C30:C38 C26:C28">
    <cfRule type="duplicateValues" dxfId="46" priority="59"/>
    <cfRule type="duplicateValues" dxfId="45" priority="60"/>
    <cfRule type="duplicateValues" dxfId="44" priority="61"/>
  </conditionalFormatting>
  <conditionalFormatting sqref="C29">
    <cfRule type="duplicateValues" dxfId="43" priority="56"/>
    <cfRule type="duplicateValues" dxfId="42" priority="57"/>
    <cfRule type="duplicateValues" dxfId="41" priority="58"/>
  </conditionalFormatting>
  <conditionalFormatting sqref="D39">
    <cfRule type="duplicateValues" dxfId="40" priority="37"/>
  </conditionalFormatting>
  <conditionalFormatting sqref="C45">
    <cfRule type="duplicateValues" dxfId="39" priority="44"/>
    <cfRule type="duplicateValues" dxfId="38" priority="45"/>
    <cfRule type="duplicateValues" dxfId="37" priority="46"/>
  </conditionalFormatting>
  <conditionalFormatting sqref="C50">
    <cfRule type="duplicateValues" dxfId="36" priority="41"/>
    <cfRule type="duplicateValues" dxfId="35" priority="42"/>
    <cfRule type="duplicateValues" dxfId="34" priority="43"/>
  </conditionalFormatting>
  <conditionalFormatting sqref="C51:C57 C46:C49 C39:C44">
    <cfRule type="duplicateValues" dxfId="33" priority="49"/>
  </conditionalFormatting>
  <conditionalFormatting sqref="C56:C57">
    <cfRule type="duplicateValues" dxfId="32" priority="47"/>
    <cfRule type="duplicateValues" dxfId="31" priority="48"/>
  </conditionalFormatting>
  <conditionalFormatting sqref="D56:D57">
    <cfRule type="duplicateValues" dxfId="30" priority="73"/>
  </conditionalFormatting>
  <conditionalFormatting sqref="D39:D55">
    <cfRule type="duplicateValues" dxfId="29" priority="74"/>
  </conditionalFormatting>
  <conditionalFormatting sqref="D40:D50">
    <cfRule type="duplicateValues" dxfId="28" priority="76"/>
  </conditionalFormatting>
  <conditionalFormatting sqref="C58:C106">
    <cfRule type="duplicateValues" dxfId="27" priority="17"/>
  </conditionalFormatting>
  <conditionalFormatting sqref="C74">
    <cfRule type="duplicateValues" dxfId="26" priority="25"/>
    <cfRule type="duplicateValues" dxfId="25" priority="26"/>
    <cfRule type="duplicateValues" dxfId="24" priority="27"/>
  </conditionalFormatting>
  <conditionalFormatting sqref="C75:C104 C58:C73">
    <cfRule type="duplicateValues" dxfId="23" priority="28"/>
    <cfRule type="duplicateValues" dxfId="22" priority="29"/>
    <cfRule type="duplicateValues" dxfId="21" priority="30"/>
  </conditionalFormatting>
  <conditionalFormatting sqref="C105">
    <cfRule type="duplicateValues" dxfId="20" priority="22"/>
    <cfRule type="duplicateValues" dxfId="19" priority="23"/>
    <cfRule type="duplicateValues" dxfId="18" priority="24"/>
  </conditionalFormatting>
  <conditionalFormatting sqref="C106">
    <cfRule type="duplicateValues" dxfId="17" priority="18"/>
    <cfRule type="duplicateValues" dxfId="16" priority="19"/>
    <cfRule type="duplicateValues" dxfId="15" priority="20"/>
  </conditionalFormatting>
  <conditionalFormatting sqref="D107">
    <cfRule type="duplicateValues" dxfId="14" priority="10"/>
    <cfRule type="duplicateValues" dxfId="13" priority="11"/>
  </conditionalFormatting>
  <conditionalFormatting sqref="D107:D108">
    <cfRule type="duplicateValues" dxfId="12" priority="9"/>
  </conditionalFormatting>
  <conditionalFormatting sqref="D108">
    <cfRule type="duplicateValues" dxfId="11" priority="7"/>
    <cfRule type="duplicateValues" dxfId="10" priority="8"/>
  </conditionalFormatting>
  <conditionalFormatting sqref="D109">
    <cfRule type="duplicateValues" dxfId="9" priority="6"/>
  </conditionalFormatting>
  <conditionalFormatting sqref="D109:D132">
    <cfRule type="duplicateValues" dxfId="8" priority="16"/>
  </conditionalFormatting>
  <conditionalFormatting sqref="D120">
    <cfRule type="duplicateValues" dxfId="7" priority="5"/>
  </conditionalFormatting>
  <conditionalFormatting sqref="D121:D132">
    <cfRule type="duplicateValues" dxfId="6" priority="4"/>
  </conditionalFormatting>
  <conditionalFormatting sqref="D130:D132">
    <cfRule type="duplicateValues" dxfId="5" priority="3"/>
  </conditionalFormatting>
  <conditionalFormatting sqref="C107:C132">
    <cfRule type="duplicateValues" dxfId="4" priority="15"/>
  </conditionalFormatting>
  <conditionalFormatting sqref="Z48:Z49">
    <cfRule type="duplicateValues" dxfId="3" priority="77"/>
  </conditionalFormatting>
  <conditionalFormatting sqref="Z61">
    <cfRule type="duplicateValues" dxfId="2" priority="78"/>
  </conditionalFormatting>
  <conditionalFormatting sqref="AY48:AY49">
    <cfRule type="duplicateValues" dxfId="1" priority="1"/>
  </conditionalFormatting>
  <conditionalFormatting sqref="AY6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dcterms:created xsi:type="dcterms:W3CDTF">2025-04-19T09:14:00Z</dcterms:created>
  <dcterms:modified xsi:type="dcterms:W3CDTF">2026-02-10T07:52:45Z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